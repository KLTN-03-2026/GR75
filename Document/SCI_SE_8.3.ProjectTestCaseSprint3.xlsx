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026\KLTN_TL\Test_Warehouse\"/>
    </mc:Choice>
  </mc:AlternateContent>
  <xr:revisionPtr revIDLastSave="0" documentId="13_ncr:1_{BC638A54-8DA6-4AFE-81DC-B19D9C1122C8}" xr6:coauthVersionLast="47" xr6:coauthVersionMax="47" xr10:uidLastSave="{00000000-0000-0000-0000-000000000000}"/>
  <bookViews>
    <workbookView xWindow="-108" yWindow="-108" windowWidth="23256" windowHeight="12456" xr2:uid="{FC733990-C98B-43C3-B748-9FE7CC067BF7}"/>
  </bookViews>
  <sheets>
    <sheet name="Trường hợp kiểm thử" sheetId="1" r:id="rId1"/>
    <sheet name="Quản lý xuất hàng" sheetId="2" r:id="rId2"/>
    <sheet name="Quản lý tồn kho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4" l="1"/>
  <c r="D5" i="4"/>
  <c r="E4" i="4"/>
  <c r="D4" i="4"/>
  <c r="E5" i="2"/>
  <c r="D5" i="2"/>
  <c r="E4" i="2"/>
  <c r="D4" i="2"/>
  <c r="D7" i="1"/>
</calcChain>
</file>

<file path=xl/sharedStrings.xml><?xml version="1.0" encoding="utf-8"?>
<sst xmlns="http://schemas.openxmlformats.org/spreadsheetml/2006/main" count="1003" uniqueCount="579">
  <si>
    <t>Tên dự án</t>
  </si>
  <si>
    <t>HỆ THỐNG QUẢN LÝ TỒN KHO VÀ TÍCH HỢP AI DỰ ĐOÁN NHẬP HÀNG TƯƠNG LAI</t>
  </si>
  <si>
    <t>STT</t>
  </si>
  <si>
    <t>Chức năng</t>
  </si>
  <si>
    <t>Sheet Name</t>
  </si>
  <si>
    <t>Số lượng test</t>
  </si>
  <si>
    <t>Mô tả</t>
  </si>
  <si>
    <t>TỔNG:</t>
  </si>
  <si>
    <t>Project Name</t>
  </si>
  <si>
    <t>Module Code</t>
  </si>
  <si>
    <t>Hoàn thành</t>
  </si>
  <si>
    <t>Lỗi</t>
  </si>
  <si>
    <t>Chưa kiểm tra</t>
  </si>
  <si>
    <t>Bị chăn</t>
  </si>
  <si>
    <t>Tổng số trường hợp thử nghiệm</t>
  </si>
  <si>
    <t>Round 1</t>
  </si>
  <si>
    <t>Round 2</t>
  </si>
  <si>
    <t>Test Case ID</t>
  </si>
  <si>
    <t>Hành động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</si>
  <si>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</si>
  <si>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</si>
  <si>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</si>
  <si>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</si>
  <si>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</si>
  <si>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</si>
  <si>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</si>
  <si>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</si>
  <si>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</si>
  <si>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</si>
  <si>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-</t>
  </si>
  <si>
    <t>Passed</t>
  </si>
  <si>
    <t>TEST CASE SYSTEM SPRINT 3</t>
  </si>
  <si>
    <t xml:space="preserve">Quản lý xuất hàng </t>
  </si>
  <si>
    <t>GUI_SHOW Trang Quản lý xuất hàng</t>
  </si>
  <si>
    <t>FUNCTION_SHOW Trang Quản lý xuất hàng</t>
  </si>
  <si>
    <t>GUI-XH01</t>
  </si>
  <si>
    <t>GUI-XH02</t>
  </si>
  <si>
    <t>GUI-XH03</t>
  </si>
  <si>
    <t>GUI-XH04</t>
  </si>
  <si>
    <t>GUI-XH05</t>
  </si>
  <si>
    <t>GUI-XH06</t>
  </si>
  <si>
    <t>GUI-XH07</t>
  </si>
  <si>
    <t>GUI-XH08</t>
  </si>
  <si>
    <t>GUI-XH09</t>
  </si>
  <si>
    <t>GUI-XH10</t>
  </si>
  <si>
    <t>GUI-XH11</t>
  </si>
  <si>
    <t>GUI-XH12</t>
  </si>
  <si>
    <t>FUNC-XH02</t>
  </si>
  <si>
    <t>FUNC-XH03</t>
  </si>
  <si>
    <t>FUNC-XH04</t>
  </si>
  <si>
    <t>FUNC-XH05</t>
  </si>
  <si>
    <t>FUNC-XH06</t>
  </si>
  <si>
    <t>FUNC-XH07</t>
  </si>
  <si>
    <t>FUNC-XH08</t>
  </si>
  <si>
    <t>FUNC-XH09</t>
  </si>
  <si>
    <t>FUNC-XH10</t>
  </si>
  <si>
    <t>Tìm kiếm phiếu xuất theo mã phiếu</t>
  </si>
  <si>
    <t>FUNC-XH11</t>
  </si>
  <si>
    <t>Có dữ liệu phiếu xuất</t>
  </si>
  <si>
    <t>FUNC-XH12</t>
  </si>
  <si>
    <t>FUNC-XH13</t>
  </si>
  <si>
    <t>FUNC-XH14</t>
  </si>
  <si>
    <t>Xem chi tiết phiếu xuất</t>
  </si>
  <si>
    <t>FUNC-XH15</t>
  </si>
  <si>
    <t>FUNC-XH16</t>
  </si>
  <si>
    <t>FUNC-XH17</t>
  </si>
  <si>
    <t>FUNC-XH18</t>
  </si>
  <si>
    <t>FUNC-XH19</t>
  </si>
  <si>
    <t>Có &gt; 10 phiếu xuất</t>
  </si>
  <si>
    <t>FUNC-XH20</t>
  </si>
  <si>
    <t>FUNC-XH21</t>
  </si>
  <si>
    <t>FUNC-XH22</t>
  </si>
  <si>
    <t>GUI-TK01</t>
  </si>
  <si>
    <t>Hoàng</t>
  </si>
  <si>
    <t>GUI-TK02</t>
  </si>
  <si>
    <t>GUI-TK03</t>
  </si>
  <si>
    <t>GUI-TK04</t>
  </si>
  <si>
    <t>GUI-TK05</t>
  </si>
  <si>
    <t>GUI-TK06</t>
  </si>
  <si>
    <t>GUI-TK07</t>
  </si>
  <si>
    <t>GUI-TK08</t>
  </si>
  <si>
    <t>GUI-TK09</t>
  </si>
  <si>
    <t>GUI-TK10</t>
  </si>
  <si>
    <t>FUNC-TK01</t>
  </si>
  <si>
    <t>FUNC-TK02</t>
  </si>
  <si>
    <t>FUNC-TK03</t>
  </si>
  <si>
    <t>FUNC-TK04</t>
  </si>
  <si>
    <t>Có dữ liệu tồn kho</t>
  </si>
  <si>
    <t>FUNC-TK05</t>
  </si>
  <si>
    <t>FUNC-TK06</t>
  </si>
  <si>
    <t>FUNC-TK07</t>
  </si>
  <si>
    <t>FUNC-TK08</t>
  </si>
  <si>
    <t>FUNC-TK09</t>
  </si>
  <si>
    <t>FUNC-TK10</t>
  </si>
  <si>
    <t>FUNC-TK11</t>
  </si>
  <si>
    <t>FUNC-TK12</t>
  </si>
  <si>
    <t>FUNC-TK13</t>
  </si>
  <si>
    <t>FUNC-TK14</t>
  </si>
  <si>
    <t>FUNC-TK15</t>
  </si>
  <si>
    <t>FUNC-TK16</t>
  </si>
  <si>
    <t>FUNC-TK17</t>
  </si>
  <si>
    <t>FUNC-TK18</t>
  </si>
  <si>
    <t>FUNC-TK19</t>
  </si>
  <si>
    <t>FUNC-TK20</t>
  </si>
  <si>
    <t>Quản lý xuất hàng</t>
  </si>
  <si>
    <t>Quản lý tồn kho</t>
  </si>
  <si>
    <t>Ti</t>
  </si>
  <si>
    <t>[Danh sách phiếu xuất] Tiêu đề trang</t>
  </si>
  <si>
    <t>Label "Quản lý Phiếu Xuất Kho": color blue-900, visible</t>
  </si>
  <si>
    <t>[Danh sách phiếu xuất] Nút "Tạo phiếu xuất"</t>
  </si>
  <si>
    <t>Button "Tạo phiếu xuất": color blue-700, Status: enable, visible</t>
  </si>
  <si>
    <t>[Danh sách phiếu xuất] Ô tìm kiếm</t>
  </si>
  <si>
    <t>Textbox tìm kiếm: placeholder "Tìm theo mã phiếu, số tham chiếu...", Status: enable</t>
  </si>
  <si>
    <t>[Danh sách phiếu xuất] Dropdown lọc trạng thái</t>
  </si>
  <si>
    <t>Dropdown "Tất cả trạng thái": Status enable, hiển thị options: DRAFT, PENDING, APPROVED, PICKING, COMPLETED, CANCELLED</t>
  </si>
  <si>
    <t>Dropdown "Tất cả trạng thái": Status enable, hiển thị đủ options</t>
  </si>
  <si>
    <t>[Danh sách phiếu xuất] Dropdown lọc loại phiếu</t>
  </si>
  <si>
    <t>Dropdown "Tất cả loại phiếu": Status enable, hiển thị options: SALES, RETURN_TO_SUPPLIER</t>
  </si>
  <si>
    <t>Dropdown "Tất cả loại phiếu": Status enable, hiển thị đủ options</t>
  </si>
  <si>
    <t>[Danh sách phiếu xuất] Bảng danh sách cột header</t>
  </si>
  <si>
    <t>Header gồm: Mã phiếu, Loại, Vị trí xuất, Sản phẩm, Người tạo, Trạng thái, Ngày tạo – tất cả visible</t>
  </si>
  <si>
    <t>Header gồm đầy đủ 7 cột visible</t>
  </si>
  <si>
    <t>[Danh sách phiếu xuất] KPI Cards (Manager)</t>
  </si>
  <si>
    <t>Tài khoản có quyền stock_outs:approve</t>
  </si>
  <si>
    <t>4 KPI cards hiển thị: Phiếu nháp, Chờ duyệt, Đang lấy hàng, Hoàn thành – visible, có icon</t>
  </si>
  <si>
    <t>4 KPI cards visible</t>
  </si>
  <si>
    <t>[Danh sách phiếu xuất] KPI Cards (Staff)</t>
  </si>
  <si>
    <t>Tài khoản không có quyền approve</t>
  </si>
  <si>
    <t>KPI Cards không hiển thị</t>
  </si>
  <si>
    <t>[Danh sách phiếu xuất] Phân trang</t>
  </si>
  <si>
    <t>Nút Previous, Next: visible. Số trang: visible. Nút prev disabled khi ở trang 1</t>
  </si>
  <si>
    <t>Nút phân trang hiển thị đúng</t>
  </si>
  <si>
    <t>[Tạo phiếu xuất] Sheet tiêu đề</t>
  </si>
  <si>
    <t>Click nút "Tạo phiếu xuất"</t>
  </si>
  <si>
    <t>Sheet title "Create New Outbound Ticket": visible, color slate-900</t>
  </si>
  <si>
    <t>Sheet title visible</t>
  </si>
  <si>
    <t>[Tạo phiếu xuất] Dropdown Ticket Type</t>
  </si>
  <si>
    <t>Sheet mở</t>
  </si>
  <si>
    <t>Dropdown "Ticket Type": Label visible, Status enable, options: SALES, RETURN_TO_SUPPLIER</t>
  </si>
  <si>
    <t>Dropdown visible, enable</t>
  </si>
  <si>
    <t>[Tạo phiếu xuất] Textbox Reference Number</t>
  </si>
  <si>
    <t>Textbox "Reference Number": Status enable, placeholder "e.g. SO-2026-001", maxLength=50</t>
  </si>
  <si>
    <t>Textbox enable, placeholder đúng</t>
  </si>
  <si>
    <t>GUI-XH13</t>
  </si>
  <si>
    <t>[Tạo phiếu xuất] Textarea Notes</t>
  </si>
  <si>
    <t>Textarea "Notes": Status enable, placeholder "Optional notes...", maxLength=255, resize-none</t>
  </si>
  <si>
    <t>Textarea enable</t>
  </si>
  <si>
    <t>GUI-XH14</t>
  </si>
  <si>
    <t>[Tạo phiếu xuất] Nút "Add Product"</t>
  </si>
  <si>
    <t>Button "Add Product": Status enable, color blue-700</t>
  </si>
  <si>
    <t>Button visible, enable</t>
  </si>
  <si>
    <t>GUI-XH15</t>
  </si>
  <si>
    <t>[Tạo phiếu xuất] Nút "Save Outbound Ticket"</t>
  </si>
  <si>
    <t>Button "Save Outbound Ticket": Status enable, color blue-700</t>
  </si>
  <si>
    <t>GUI-XH16</t>
  </si>
  <si>
    <t>[Tạo phiếu xuất] Nút "Cancel"</t>
  </si>
  <si>
    <t>Button "Cancel": Status enable, color slate</t>
  </si>
  <si>
    <t>GUI-XH17</t>
  </si>
  <si>
    <t>[Tạo phiếu xuất] Row sản phẩm: Dropdown Category</t>
  </si>
  <si>
    <t>Click Add Product</t>
  </si>
  <si>
    <t>Dropdown "Category": Status enable, option đầu "All categories"</t>
  </si>
  <si>
    <t>GUI-XH18</t>
  </si>
  <si>
    <t>[Tạo phiếu xuất] Row sản phẩm: Dropdown Product</t>
  </si>
  <si>
    <t>GUI-XH19</t>
  </si>
  <si>
    <t>[Tạo phiếu xuất] Row sản phẩm: Field Available</t>
  </si>
  <si>
    <t>Chưa chọn sản phẩm</t>
  </si>
  <si>
    <t>Field "Available": hiển thị "—", Status readonly</t>
  </si>
  <si>
    <t>Field hiển thị "—"</t>
  </si>
  <si>
    <t>GUI-XH20</t>
  </si>
  <si>
    <t>[Tạo phiếu xuất] Row sản phẩm: Input Quantity</t>
  </si>
  <si>
    <t>Input visible, enable</t>
  </si>
  <si>
    <t>GUI-XH21</t>
  </si>
  <si>
    <t>[Chi tiết phiếu xuất] Breadcrumb</t>
  </si>
  <si>
    <t>Vào trang detail</t>
  </si>
  <si>
    <t>Breadcrumb "Phiếu xuất &gt; [Mã phiếu]": visible, link active</t>
  </si>
  <si>
    <t>Breadcrumb visible</t>
  </si>
  <si>
    <t>GUI-XH22</t>
  </si>
  <si>
    <t>[Chi tiết phiếu xuất] Workflow Stepper</t>
  </si>
  <si>
    <t>Stepper hiển thị các bước: DRAFT → PENDING → APPROVED → PICKING → COMPLETED, step hiện tại được highlight</t>
  </si>
  <si>
    <t>Stepper hiển thị đúng</t>
  </si>
  <si>
    <t>GUI-XH23</t>
  </si>
  <si>
    <t>[Chi tiết phiếu xuất] Badge trạng thái</t>
  </si>
  <si>
    <t>Badge trạng thái hiển thị đúng màu theo status: DRAFT=slate, PENDING=amber, APPROVED=blue, PICKING=blue, COMPLETED=green, CANCELLED=red</t>
  </si>
  <si>
    <t>Badge hiển thị đúng màu</t>
  </si>
  <si>
    <t>GUI-XH24</t>
  </si>
  <si>
    <t>[Chi tiết phiếu xuất] Nút "Gửi duyệt" (DRAFT)</t>
  </si>
  <si>
    <t>Phiếu trạng thái DRAFT</t>
  </si>
  <si>
    <t>Button "Gửi duyệt": visible, color amber-500, Status enable</t>
  </si>
  <si>
    <t>GUI-XH25</t>
  </si>
  <si>
    <t>[Chi tiết phiếu xuất] Nút "Phê duyệt" (Manager)</t>
  </si>
  <si>
    <t>Phiếu PENDING, user là Manager</t>
  </si>
  <si>
    <t>Button "Phê duyệt": visible, color emerald-600, Status enable</t>
  </si>
  <si>
    <t>GUI-XH26</t>
  </si>
  <si>
    <t>[Chi tiết phiếu xuất] Thông báo chờ duyệt (Staff)</t>
  </si>
  <si>
    <t>Phiếu PENDING, user là Staff</t>
  </si>
  <si>
    <t>Hiển thị badge "Đang chờ quản lý phê duyệt", color amber</t>
  </si>
  <si>
    <t>Badge visible</t>
  </si>
  <si>
    <t>GUI-XH27</t>
  </si>
  <si>
    <t>[Chi tiết phiếu xuất] Nút "Hủy phiếu"</t>
  </si>
  <si>
    <t>Phiếu chưa ở trạng thái terminal</t>
  </si>
  <si>
    <t>Button "Hủy phiếu": visible, color red, Status enable</t>
  </si>
  <si>
    <r>
      <t>Dropdown "Product </t>
    </r>
    <r>
      <rPr>
        <i/>
        <sz val="13"/>
        <color theme="1"/>
        <rFont val="Times New Roman"/>
        <family val="1"/>
      </rPr>
      <t>": Status enable, có dấu (</t>
    </r>
    <r>
      <rPr>
        <sz val="13"/>
        <color theme="1"/>
        <rFont val="Times New Roman"/>
        <family val="1"/>
      </rPr>
      <t>) đỏ</t>
    </r>
  </si>
  <si>
    <r>
      <t>Input "Outbound Qty </t>
    </r>
    <r>
      <rPr>
        <i/>
        <sz val="13"/>
        <color theme="1"/>
        <rFont val="Times New Roman"/>
        <family val="1"/>
      </rPr>
      <t>": Status enable, type=number, có dấu (</t>
    </r>
    <r>
      <rPr>
        <sz val="13"/>
        <color theme="1"/>
        <rFont val="Times New Roman"/>
        <family val="1"/>
      </rPr>
      <t>) đỏ</t>
    </r>
  </si>
  <si>
    <t>FUNC-XH01</t>
  </si>
  <si>
    <t>Tạo phiếu xuất SALES thành công</t>
  </si>
  <si>
    <t>1. Click "Tạo phiếu xuất" 2. Chọn Type = SALES 3. Nhập Reference Number hợp lệ 4. Click Add Product, chọn sản phẩm có tồn kho 5. Nhập số lượng ≤ Available 6. Click "Save Outbound Ticket"</t>
  </si>
  <si>
    <t>Đã đăng nhập, có sản phẩm tồn kho &gt; 0</t>
  </si>
  <si>
    <t>Phiếu xuất được tạo thành công, trạng thái DRAFT, hiển thị toast success, sheet đóng lại</t>
  </si>
  <si>
    <t>Phiếu tạo thành công, trạng thái DRAFT</t>
  </si>
  <si>
    <t>Tạo phiếu xuất RETURN_TO_SUPPLIER thành công</t>
  </si>
  <si>
    <t>1. Click "Tạo phiếu xuất" 2. Chọn Type = RETURN_TO_SUPPLIER 3. Thêm sản phẩm, nhập số lượng hợp lệ 4. Click "Save Outbound Ticket"</t>
  </si>
  <si>
    <t>Đã đăng nhập, có sản phẩm tồn kho</t>
  </si>
  <si>
    <t>Phiếu tạo thành công, trạng thái DRAFT, type = RETURN_TO_SUPPLIER</t>
  </si>
  <si>
    <t>Phiếu tạo thành công</t>
  </si>
  <si>
    <t>Tạo phiếu khi không chọn sản phẩm</t>
  </si>
  <si>
    <t>1. Click "Tạo phiếu xuất" 2. Không thêm sản phẩm nào 3. Click "Save Outbound Ticket"</t>
  </si>
  <si>
    <t>Sheet đang mở</t>
  </si>
  <si>
    <t>Hiện lỗi: "Please add at least one product", không submit</t>
  </si>
  <si>
    <t>Hiện lỗi validation</t>
  </si>
  <si>
    <t>Tạo phiếu khi số lượng vượt tồn kho</t>
  </si>
  <si>
    <t>1. Click "Tạo phiếu xuất" 2. Chọn sản phẩm có Available = 5 3. Nhập Quantity = 10 4. Click Save</t>
  </si>
  <si>
    <t>Sản phẩm có tồn kho Available = 5</t>
  </si>
  <si>
    <t>Hiện lỗi: "Số lượng xuất không được vượt quá tồn kho khả dụng (5)", không submit</t>
  </si>
  <si>
    <t>Tạo phiếu khi số lượng = 0</t>
  </si>
  <si>
    <t>1. Chọn sản phẩm 2. Nhập Quantity = 0 3. Click Save</t>
  </si>
  <si>
    <t>Hiện lỗi: "Quantity must be &gt; 0", không submit</t>
  </si>
  <si>
    <t>Tạo phiếu khi số lượng = số tồn kho (boundary)</t>
  </si>
  <si>
    <t>1. Chọn sản phẩm có Available = 5 2. Nhập Quantity = 5 3. Click Save</t>
  </si>
  <si>
    <t>Sản phẩm Available = 5</t>
  </si>
  <si>
    <t>Tạo phiếu khi Reference Number &gt; 50 ký tự</t>
  </si>
  <si>
    <t>1. Nhập Reference Number = chuỗi 51 ký tự 2. Click Save</t>
  </si>
  <si>
    <t>Hiện lỗi: "Reference number must be &lt;= 50 characters"</t>
  </si>
  <si>
    <t>Tạo phiếu khi Notes &gt; 255 ký tự</t>
  </si>
  <si>
    <t>1. Nhập Notes = chuỗi 256 ký tự 2. Click Save</t>
  </si>
  <si>
    <t>Thêm 2 dòng cùng sản phẩm (duplicate)</t>
  </si>
  <si>
    <t>1. Thêm 2 rows 2. Cả 2 chọn cùng 1 sản phẩm 3. Click Save</t>
  </si>
  <si>
    <t>Hiện lỗi: "Product already exists in the list. Please merge quantities."</t>
  </si>
  <si>
    <t>Đóng sheet khi có dữ liệu chưa lưu</t>
  </si>
  <si>
    <t>1. Nhập dữ liệu vào form 2. Click nút X hoặc Cancel</t>
  </si>
  <si>
    <t>Form đã có dữ liệu</t>
  </si>
  <si>
    <t>Hiện dialog xác nhận "You have unsaved data. Are you sure you want to close?"</t>
  </si>
  <si>
    <t>Dialog confirm hiện ra</t>
  </si>
  <si>
    <t>Chọn "Exit Without Saving" trong dialog</t>
  </si>
  <si>
    <t>1. Có dữ liệu chưa lưu 2. Click X → hiện dialog 3. Click "Exit Without Saving"</t>
  </si>
  <si>
    <t>Dialog đang mở</t>
  </si>
  <si>
    <t>Sheet đóng, dữ liệu bị hủy</t>
  </si>
  <si>
    <t>Sheet đóng, dữ liệu xóa</t>
  </si>
  <si>
    <t>1. Nhập mã phiếu hợp lệ vào ô tìm kiếm 2. Debounce 350ms</t>
  </si>
  <si>
    <t>Danh sách lọc hiển thị đúng phiếu có mã tương ứng</t>
  </si>
  <si>
    <t>Lọc đúng kết quả</t>
  </si>
  <si>
    <t>Tìm kiếm không có kết quả</t>
  </si>
  <si>
    <t>1. Nhập từ khóa không tồn tại</t>
  </si>
  <si>
    <t>Hiển thị "Không có phiếu xuất nào phù hợp với bộ lọc hiện tại." và link "Xóa bộ lọc"</t>
  </si>
  <si>
    <t>Empty state hiện đúng</t>
  </si>
  <si>
    <t>Lọc phiếu theo trạng thái PENDING</t>
  </si>
  <si>
    <t>1. Chọn dropdown trạng thái = PENDING</t>
  </si>
  <si>
    <t>Có phiếu PENDING</t>
  </si>
  <si>
    <t>Chỉ hiển thị phiếu có status = PENDING</t>
  </si>
  <si>
    <t>Lọc đúng</t>
  </si>
  <si>
    <t>Lọc phiếu theo loại SALES</t>
  </si>
  <si>
    <t>1. Chọn dropdown loại = SALES</t>
  </si>
  <si>
    <t>Có phiếu SALES</t>
  </si>
  <si>
    <t>Chỉ hiển thị phiếu type = SALES</t>
  </si>
  <si>
    <t>Phân trang danh sách</t>
  </si>
  <si>
    <t>1. Chuyển sang trang 2 bằng nút Next</t>
  </si>
  <si>
    <t>Có &gt; 10 phiếu</t>
  </si>
  <si>
    <t>Trang 2 hiển thị đúng dữ liệu, page = 2 được highlight</t>
  </si>
  <si>
    <t>Phân trang đúng</t>
  </si>
  <si>
    <t>Reset page khi đổi filter</t>
  </si>
  <si>
    <t>1. Đang ở trang 3 2. Thay đổi filter trạng thái</t>
  </si>
  <si>
    <t>Đang ở trang 3</t>
  </si>
  <si>
    <t>Page tự reset về trang 1</t>
  </si>
  <si>
    <t>Page reset về 1</t>
  </si>
  <si>
    <t>1. Click vào một dòng phiếu trong bảng</t>
  </si>
  <si>
    <t>Có phiếu xuất</t>
  </si>
  <si>
    <t>Điều hướng đến trang /outbound/{id}, hiển thị chi tiết phiếu</t>
  </si>
  <si>
    <t>Điều hướng đúng</t>
  </si>
  <si>
    <t>Gửi duyệt phiếu (DRAFT → PENDING)</t>
  </si>
  <si>
    <t>1. Vào chi tiết phiếu DRAFT 2. Click "Gửi duyệt" 3. Xác nhận trong dialog</t>
  </si>
  <si>
    <t>Phiếu chuyển sang PENDING, stepper cập nhật, toast success</t>
  </si>
  <si>
    <t>Phiếu chuyển PENDING</t>
  </si>
  <si>
    <t>Phê duyệt phiếu (PENDING → APPROVED) - Manager</t>
  </si>
  <si>
    <t>1. Vào chi tiết phiếu PENDING 2. Click "Phê duyệt" 3. Xác nhận</t>
  </si>
  <si>
    <t>User có quyền approve, tồn kho đủ</t>
  </si>
  <si>
    <t>Phiếu chuyển sang APPROVED, tồn kho khả dụng bị khoá tương ứng</t>
  </si>
  <si>
    <t>Phiếu chuyển APPROVED</t>
  </si>
  <si>
    <t>Phê duyệt phiếu khi tồn kho không đủ</t>
  </si>
  <si>
    <t>1. Phiếu PENDING có sp thiếu tồn kho 2. Click "Phê duyệt"</t>
  </si>
  <si>
    <t>Tồn kho &lt; số lượng yêu cầu</t>
  </si>
  <si>
    <t>Button "Phê duyệt" bị disable, hiển thị thông báo "Một hoặc nhiều dòng sản phẩm đang thiếu tồn kho khả dụng"</t>
  </si>
  <si>
    <t>Button disable, thông báo hiện</t>
  </si>
  <si>
    <t>Hủy phiếu không nhập lý do</t>
  </si>
  <si>
    <t>1. Click "Hủy phiếu" 2. Không nhập lý do 3. Click xác nhận</t>
  </si>
  <si>
    <t>Phiếu chưa terminal</t>
  </si>
  <si>
    <t>Toast lỗi: "Thiếu lý do hủy phiếu – Vui lòng nhập lý do trước khi xác nhận hủy phiếu."</t>
  </si>
  <si>
    <t>Toast lỗi hiện</t>
  </si>
  <si>
    <t>FUNC-XH23</t>
  </si>
  <si>
    <t>Hủy phiếu thành công có lý do</t>
  </si>
  <si>
    <t>1. Click "Hủy phiếu" 2. Nhập lý do hợp lệ 3. Click xác nhận</t>
  </si>
  <si>
    <t>Phiếu chuyển sang CANCELLED, hiển thị banner đỏ "Phiếu đã bị hủy"</t>
  </si>
  <si>
    <t>Phiếu chuyển CANCELLED</t>
  </si>
  <si>
    <t>FUNC-XH24</t>
  </si>
  <si>
    <t>Bắt đầu lấy hàng (APPROVED → PICKING)</t>
  </si>
  <si>
    <t>1. Vào chi tiết phiếu APPROVED 2. Click "Bắt đầu lấy hàng"</t>
  </si>
  <si>
    <t>Phiếu trạng thái APPROVED</t>
  </si>
  <si>
    <t>Điều hướng đến /outbound/{id}/picking</t>
  </si>
  <si>
    <t>FUNC-XH25</t>
  </si>
  <si>
    <t>Nút "Lấy hàng" trong danh sách (quick action)</t>
  </si>
  <si>
    <t>1. Trong danh sách, click nút "Lấy hàng" trên phiếu APPROVED/PICKING</t>
  </si>
  <si>
    <t>Phiếu trạng thái APPROVED hoặc PICKING</t>
  </si>
  <si>
    <t>FUNC-XH26</t>
  </si>
  <si>
    <t>KPI Card lọc nhanh theo trạng thái</t>
  </si>
  <si>
    <t>1. Manager click vào KPI Card "Chờ duyệt"</t>
  </si>
  <si>
    <t>Tài khoản Manager, có phiếu PENDING</t>
  </si>
  <si>
    <t>Dropdown filter tự động set = PENDING, danh sách lọc theo PENDING</t>
  </si>
  <si>
    <t>Filter tự động</t>
  </si>
  <si>
    <t>FUNC-XH27</t>
  </si>
  <si>
    <t>Popover danh sách sản phẩm trong phiếu</t>
  </si>
  <si>
    <t>1. Click badge sản phẩm trong bảng danh sách</t>
  </si>
  <si>
    <t>Phiếu có ít nhất 1 sản phẩm</t>
  </si>
  <si>
    <t>Hiện popover danh sách sản phẩm với tên, SKU, số lượng</t>
  </si>
  <si>
    <t>Popover hiện đúng</t>
  </si>
  <si>
    <t>FUNC-XH28</t>
  </si>
  <si>
    <t>Xóa bộ lọc khi không có kết quả</t>
  </si>
  <si>
    <t>1. Lọc ra kết quả rỗng 2. Click "Xóa bộ lọc"</t>
  </si>
  <si>
    <t>Không có phiếu khớp filter</t>
  </si>
  <si>
    <t>Tất cả filter reset, hiển thị toàn bộ danh sách</t>
  </si>
  <si>
    <t>Filter reset</t>
  </si>
  <si>
    <t>FUNC-XH29</t>
  </si>
  <si>
    <t>Tải trang chi tiết phiếu không tồn tại</t>
  </si>
  <si>
    <t>1. Truy cập /outbound/99999</t>
  </si>
  <si>
    <t>ID không tồn tại</t>
  </si>
  <si>
    <t>Hiển thị "Không thể tải phiếu xuất #99999", nút Thử lại và Quay lại</t>
  </si>
  <si>
    <t>Error state hiện</t>
  </si>
  <si>
    <t>FUNC-XH30</t>
  </si>
  <si>
    <t>Thêm nhiều sản phẩm vào 1 phiếu</t>
  </si>
  <si>
    <t>1. Click Add Product 3 lần 2. Chọn 3 sản phẩm khác nhau 3. Nhập số lượng hợp lệ 4. Click Save</t>
  </si>
  <si>
    <t>Có ≥ 3 sản phẩm khác nhau có tồn kho</t>
  </si>
  <si>
    <t>Phiếu tạo thành công với 3 dòng sản phẩm</t>
  </si>
  <si>
    <t>Phiếu tạo đủ 3 dòng</t>
  </si>
  <si>
    <t>FUNC-XH31</t>
  </si>
  <si>
    <t>Xóa 1 dòng sản phẩm trong form</t>
  </si>
  <si>
    <t>1. Thêm 2 dòng sản phẩm 2. Click nút delete trên dòng 1</t>
  </si>
  <si>
    <t>Form đang mở, có 2 dòng</t>
  </si>
  <si>
    <t>Dòng 1 bị xóa, còn lại 1 dòng</t>
  </si>
  <si>
    <t>Dòng bị xóa đúng</t>
  </si>
  <si>
    <t>[Tổng quan tồn kho] Tiêu đề trang</t>
  </si>
  <si>
    <t>Label "Inventory Overview": visible, color slate-900</t>
  </si>
  <si>
    <t>Label visible</t>
  </si>
  <si>
    <t>[Tổng quan tồn kho] Mô tả trang</t>
  </si>
  <si>
    <t>Description "Central ledger for SKU inventory health...": visible, color slate-500</t>
  </si>
  <si>
    <t>Description visible</t>
  </si>
  <si>
    <t>[Tổng quan tồn kho] KPI Widget – Active Products</t>
  </si>
  <si>
    <t>KPI Widget "Active Products": icon inventory_2, color emerald, số liệu visible</t>
  </si>
  <si>
    <t>Widget visible, color đúng</t>
  </si>
  <si>
    <t>[Tổng quan tồn kho] KPI Widget – Low Stock Alerts</t>
  </si>
  <si>
    <t>KPI Widget "Low Stock Alerts": icon production_quantity_limits, color amber, số liệu visible</t>
  </si>
  <si>
    <t>[Tổng quan tồn kho] KPI Widget – Expiring Soon</t>
  </si>
  <si>
    <t>KPI Widget "Expiring Soon": icon schedule, color rose, số liệu visible</t>
  </si>
  <si>
    <t>[Tổng quan tồn kho] KPI Widget – Blocked/Hold</t>
  </si>
  <si>
    <t>KPI Widget "Blocked / Hold": icon lock, color slate, số liệu visible</t>
  </si>
  <si>
    <t>[Tổng quan tồn kho] Ô tìm kiếm SKU/tên</t>
  </si>
  <si>
    <t>Textbox: placeholder "Tìm theo SKU hoặc tên sản phẩm...", Status: enable</t>
  </si>
  <si>
    <t>[Tổng quan tồn kho] Nút xóa tìm kiếm (X)</t>
  </si>
  <si>
    <t>Đã nhập text tìm kiếm</t>
  </si>
  <si>
    <t>Nút X xuất hiện bên phải ô tìm kiếm, visible, Status: enable</t>
  </si>
  <si>
    <t>Nút X visible</t>
  </si>
  <si>
    <t>[Tổng quan tồn kho] Dropdown chọn kho</t>
  </si>
  <si>
    <t>Dropdown "All warehouses": Status enable, option đầu "All warehouses", list các kho</t>
  </si>
  <si>
    <t>Dropdown enable</t>
  </si>
  <si>
    <t>[Tổng quan tồn kho] Nút "Làm mới"</t>
  </si>
  <si>
    <t>Button "Làm mới": icon refresh, Status: enable</t>
  </si>
  <si>
    <t>GUI-TK11</t>
  </si>
  <si>
    <t>[Bảng dữ liệu] Header cột bảng chính</t>
  </si>
  <si>
    <t>Header gồm: SKU Code, Tên sản phẩm, Min/Max, Available, On-hand, Allocated, Trạng thái – tất cả visible</t>
  </si>
  <si>
    <t>Header 7 cột visible</t>
  </si>
  <si>
    <t>GUI-TK12</t>
  </si>
  <si>
    <t>[Bảng dữ liệu] Badge trạng thái – Low Stock</t>
  </si>
  <si>
    <t>Sản phẩm isLowStock = true</t>
  </si>
  <si>
    <t>Badge "Low Stock": color amber, icon warning, visible</t>
  </si>
  <si>
    <t>Badge amber visible</t>
  </si>
  <si>
    <t>GUI-TK13</t>
  </si>
  <si>
    <t>[Bảng dữ liệu] Badge trạng thái – Expiring Soon</t>
  </si>
  <si>
    <t>Sản phẩm hasExpiringSoon = true</t>
  </si>
  <si>
    <t>Badge "Expiring Soon": color rose, icon schedule, visible</t>
  </si>
  <si>
    <t>Badge rose visible</t>
  </si>
  <si>
    <t>GUI-TK14</t>
  </si>
  <si>
    <t>[Bảng dữ liệu] Badge trạng thái – Overstock</t>
  </si>
  <si>
    <t>Sản phẩm isOverstock = true</t>
  </si>
  <si>
    <t>Badge "Overstock": color blue, icon arrow_upward, visible</t>
  </si>
  <si>
    <t>Badge blue visible</t>
  </si>
  <si>
    <t>GUI-TK15</t>
  </si>
  <si>
    <t>[Bảng dữ liệu] Badge trạng thái – Hold</t>
  </si>
  <si>
    <t>Sản phẩm hasBlockedLot = true</t>
  </si>
  <si>
    <t>Badge "Hold": color slate, icon lock, visible</t>
  </si>
  <si>
    <t>Badge slate visible</t>
  </si>
  <si>
    <t>GUI-TK16</t>
  </si>
  <si>
    <t>[Bảng dữ liệu] Badge trạng thái – Normal</t>
  </si>
  <si>
    <t>Sản phẩm không có cảnh báo</t>
  </si>
  <si>
    <t>Badge "Normal": color emerald, icon check_circle, visible</t>
  </si>
  <si>
    <t>Badge emerald visible</t>
  </si>
  <si>
    <t>GUI-TK17</t>
  </si>
  <si>
    <t>[Bảng dữ liệu] Badge trạng thái – Out of Stock</t>
  </si>
  <si>
    <t>onHand = 0</t>
  </si>
  <si>
    <t>Badge "Out of Stock": color slate, visible</t>
  </si>
  <si>
    <t>GUI-TK18</t>
  </si>
  <si>
    <t>[Bảng dữ liệu] Icon mũi tên expand dòng</t>
  </si>
  <si>
    <t>Icon chevron_right ở cột đầu, color slate-400, Status: enable</t>
  </si>
  <si>
    <t>Icon visible</t>
  </si>
  <si>
    <t>GUI-TK19</t>
  </si>
  <si>
    <t>[Chi tiết phân bổ] Header bảng detail</t>
  </si>
  <si>
    <t>Click expand dòng sản phẩm</t>
  </si>
  <si>
    <t>Header bảng detail: Vị trí (Location), Kho, Mã lô, Hạn sử dụng, SL trong ô, Trạng thái lô – visible</t>
  </si>
  <si>
    <t>Header 6 cột visible</t>
  </si>
  <si>
    <t>GUI-TK20</t>
  </si>
  <si>
    <t>[Phân trang] Nút Previous / Next</t>
  </si>
  <si>
    <t>Có &gt; 20 sản phẩm</t>
  </si>
  <si>
    <t>Nút chevron_left, chevron_right: visible. Disabled khi ở đầu/cuối</t>
  </si>
  <si>
    <t>Nút phân trang đúng</t>
  </si>
  <si>
    <t>Tải danh sách tồn kho thành công</t>
  </si>
  <si>
    <t>1. Truy cập trang Inventory Overview</t>
  </si>
  <si>
    <t>Đã đăng nhập, có dữ liệu tồn kho</t>
  </si>
  <si>
    <t>Bảng hiển thị đầy đủ SKU, tên sp, Available, On-hand, Allocated, Trạng thái</t>
  </si>
  <si>
    <t>Bảng tải thành công</t>
  </si>
  <si>
    <t>Hiển thị đúng số liệu KPI</t>
  </si>
  <si>
    <t>1. Vào trang Inventory Overview</t>
  </si>
  <si>
    <t>Active Products = tổng sp active; Low Stock = số sp thiếu hàng; Expiring Soon = số sp sắp hết hạn; Blocked = số lô bị hold</t>
  </si>
  <si>
    <t>KPI số liệu khớp database</t>
  </si>
  <si>
    <t>Lọc nhanh Low Stock qua KPI Widget</t>
  </si>
  <si>
    <t>1. Click KPI Widget "Low Stock Alerts"</t>
  </si>
  <si>
    <t>Có sản phẩm isLowStock = true</t>
  </si>
  <si>
    <t>Bảng chỉ hiển thị các sản phẩm Low Stock, widget được highlight</t>
  </si>
  <si>
    <t>Filter Low Stock đúng</t>
  </si>
  <si>
    <t>Lọc nhanh Expiring Soon qua KPI Widget</t>
  </si>
  <si>
    <t>1. Click KPI Widget "Expiring Soon"</t>
  </si>
  <si>
    <t>Có sản phẩm sắp hết hạn</t>
  </si>
  <si>
    <t>Bảng chỉ hiển thị các sản phẩm hasExpiringSoon = true, widget highlight</t>
  </si>
  <si>
    <t>Filter Expiring Soon đúng</t>
  </si>
  <si>
    <t>Lọc nhanh Blocked qua KPI Widget</t>
  </si>
  <si>
    <t>1. Click KPI Widget "Blocked / Hold"</t>
  </si>
  <si>
    <t>Có sản phẩm hasBlockedLot = true</t>
  </si>
  <si>
    <t>Bảng chỉ hiển thị sản phẩm có lô bị hold</t>
  </si>
  <si>
    <t>Filter Blocked đúng</t>
  </si>
  <si>
    <t>Toggle widget filter (click lại để bỏ filter)</t>
  </si>
  <si>
    <t>1. Click "Low Stock" → filter áp dụng 2. Click lại "Low Stock"</t>
  </si>
  <si>
    <t>Đang ở chế độ filter Low Stock</t>
  </si>
  <si>
    <t>Widget filter reset về "all", bảng hiển thị toàn bộ</t>
  </si>
  <si>
    <t>Filter toggle đúng</t>
  </si>
  <si>
    <t>Tìm kiếm theo SKU</t>
  </si>
  <si>
    <t>1. Nhập SKU chính xác vào ô tìm kiếm 2. Debounce 300ms</t>
  </si>
  <si>
    <t>Có sản phẩm với SKU tương ứng</t>
  </si>
  <si>
    <t>Danh sách chỉ hiển thị sản phẩm khớp SKU</t>
  </si>
  <si>
    <t>Tìm kiếm đúng</t>
  </si>
  <si>
    <t>Tìm kiếm theo tên sản phẩm (partial match)</t>
  </si>
  <si>
    <t>1. Nhập một phần tên sản phẩm</t>
  </si>
  <si>
    <t>Có sản phẩm tên tương ứng</t>
  </si>
  <si>
    <t>Danh sách lọc theo tên sản phẩm (case insensitive)</t>
  </si>
  <si>
    <t>1. Nhập chuỗi không tồn tại</t>
  </si>
  <si>
    <t>Empty state: "Không có sản phẩm phù hợp – Thử xóa bộ lọc hoặc thay đổi từ khóa tìm kiếm."</t>
  </si>
  <si>
    <t>Empty state hiện</t>
  </si>
  <si>
    <t>Xóa ô tìm kiếm bằng nút X</t>
  </si>
  <si>
    <t>1. Nhập text tìm kiếm 2. Click nút X</t>
  </si>
  <si>
    <t>Đang có text trong ô tìm kiếm</t>
  </si>
  <si>
    <t>Ô tìm kiếm trống, danh sách hiển thị toàn bộ, nút X biến mất</t>
  </si>
  <si>
    <t>Xóa tìm kiếm thành công</t>
  </si>
  <si>
    <t>Lọc theo kho cụ thể</t>
  </si>
  <si>
    <t>1. Chọn dropdown kho = "Kho A"</t>
  </si>
  <si>
    <t>Có nhiều kho, có sp thuộc Kho A</t>
  </si>
  <si>
    <t>Danh sách chỉ hiển thị sp có tồn kho tại Kho A</t>
  </si>
  <si>
    <t>Lọc theo kho đúng</t>
  </si>
  <si>
    <t>Lọc kết hợp: widget + tìm kiếm</t>
  </si>
  <si>
    <t>1. Click "Low Stock" 2. Nhập tên sản phẩm</t>
  </si>
  <si>
    <t>Có sp Low Stock</t>
  </si>
  <si>
    <t>Kết quả áp dụng cả 2 điều kiện lọc</t>
  </si>
  <si>
    <t>Kết hợp filter đúng</t>
  </si>
  <si>
    <t>Reset filter khi đang xem filtered</t>
  </si>
  <si>
    <t>1. Đang filter Low Stock 2. Click "Xóa bộ lọc ×"</t>
  </si>
  <si>
    <t>Đang có widget filter active</t>
  </si>
  <si>
    <t>Filter reset về all, badge "Xóa bộ lọc ×" biến mất</t>
  </si>
  <si>
    <t>Sắp xếp ưu tiên Low Stock lên đầu</t>
  </si>
  <si>
    <t>1. Tải danh sách không filter</t>
  </si>
  <si>
    <t>Có sp Low Stock, Expiring, Normal</t>
  </si>
  <si>
    <t>Thứ tự: Low Stock → Expiring → Blocked → Normal</t>
  </si>
  <si>
    <t>Thứ tự sắp xếp đúng</t>
  </si>
  <si>
    <t>Expand dòng sản phẩm – tải phân bổ vị trí</t>
  </si>
  <si>
    <t>1. Click vào 1 dòng sản phẩm trong bảng</t>
  </si>
  <si>
    <t>Sản phẩm có hàng trong các vị trí</t>
  </si>
  <si>
    <t>Sub-table "Actual Inventory Allocation" hiện ra bên dưới, hiển thị: vị trí, kho, mã lô, hạn SD, SL trong ô, trạng thái lô</t>
  </si>
  <si>
    <t>Phân bổ load và hiển thị</t>
  </si>
  <si>
    <t>Collapse dòng đã expand</t>
  </si>
  <si>
    <t>1. Expand dòng sản phẩm 2. Click lại vào dòng đó</t>
  </si>
  <si>
    <t>Dòng đang expanded</t>
  </si>
  <si>
    <t>Sub-table ẩn đi, icon chevron quay về trạng thái ban đầu</t>
  </si>
  <si>
    <t>Collapse đúng</t>
  </si>
  <si>
    <t>Chỉ 1 dòng được expand cùng lúc</t>
  </si>
  <si>
    <t>1. Expand dòng sản phẩm A 2. Click expand dòng sản phẩm B</t>
  </si>
  <si>
    <t>Có ≥ 2 sản phẩm</t>
  </si>
  <si>
    <t>Dòng A tự collapse, dòng B expand</t>
  </si>
  <si>
    <t>Chỉ 1 dòng expand</t>
  </si>
  <si>
    <t>Tồn kho phân bổ không có dữ liệu</t>
  </si>
  <si>
    <t>1. Expand sp chưa có hàng trong bất kỳ vị trí nào</t>
  </si>
  <si>
    <t>Sản phẩm on-hand = 0 tại tất cả vị trí</t>
  </si>
  <si>
    <t>Hiển thị "Chưa có hàng hóa trong bất kỳ ô nào."</t>
  </si>
  <si>
    <t>Empty message đúng</t>
  </si>
  <si>
    <t>Badge lô – Lot trạng thái Available</t>
  </si>
  <si>
    <t>1. Expand sp có lô không hold, chưa hết hạn</t>
  </si>
  <si>
    <t>Lô không bị hold, ngày hết hạn &gt; 30 ngày</t>
  </si>
  <si>
    <t>Badge "Available": color emerald</t>
  </si>
  <si>
    <t>Badge đúng</t>
  </si>
  <si>
    <t>Badge lô – Lot trạng thái Expiring (≤ 30 ngày)</t>
  </si>
  <si>
    <t>1. Expand sp có lô sắp hết hạn</t>
  </si>
  <si>
    <t>Lô có expiry trong vòng 30 ngày</t>
  </si>
  <si>
    <t>Badge "Expiring (Xd)": color amber, hiển thị số ngày còn lại</t>
  </si>
  <si>
    <t>FUNC-TK21</t>
  </si>
  <si>
    <t>Badge lô – Lot trạng thái Expired</t>
  </si>
  <si>
    <t>1. Expand sp có lô đã hết hạn</t>
  </si>
  <si>
    <t>Lô có expiry &lt; ngày hiện tại</t>
  </si>
  <si>
    <t>Badge "Expired": color rose</t>
  </si>
  <si>
    <t>FUNC-TK22</t>
  </si>
  <si>
    <t>Badge lô – Lot trạng thái Hold</t>
  </si>
  <si>
    <t>1. Expand sp có lô bị hold</t>
  </si>
  <si>
    <t>hasHoldLot = true</t>
  </si>
  <si>
    <t>Badge "Hold": color slate</t>
  </si>
  <si>
    <t>FUNC-TK23</t>
  </si>
  <si>
    <t>Kiểm tra tổng SL phân bổ = On-hand</t>
  </si>
  <si>
    <t>1. Expand sp, xem footer bảng detail</t>
  </si>
  <si>
    <t>Sản phẩm có phân bổ</t>
  </si>
  <si>
    <t>Footer "Tổng (phải bằng On-hand)" = tổng SL các ô = On-hand của sản phẩm</t>
  </si>
  <si>
    <t>Tổng khớp On-hand</t>
  </si>
  <si>
    <t>FUNC-TK24</t>
  </si>
  <si>
    <t>Làm mới dữ liệu (Refresh)</t>
  </si>
  <si>
    <t>1. Click nút "Làm mới"</t>
  </si>
  <si>
    <t>Đang xem danh sách</t>
  </si>
  <si>
    <t>Data re-fetch, spinner hiển thị trong khi loading, bảng cập nhật</t>
  </si>
  <si>
    <t>Refresh đúng</t>
  </si>
  <si>
    <t>FUNC-TK25</t>
  </si>
  <si>
    <t>Lọc theo kho reset page về 1</t>
  </si>
  <si>
    <t>1. Đang ở trang 2 2. Thay đổi dropdown kho</t>
  </si>
  <si>
    <t>Đang ở trang 2</t>
  </si>
  <si>
    <t>Page reset</t>
  </si>
  <si>
    <t>FUNC-TK26</t>
  </si>
  <si>
    <t>Phân trang – chuyển trang</t>
  </si>
  <si>
    <t>1. Click trang 2 trong pagination</t>
  </si>
  <si>
    <t>Bảng hiển thị trang 2, số trang cập nhật, "Hiển thị X-Y / Z sản phẩm" đúng</t>
  </si>
  <si>
    <t>FUNC-TK27</t>
  </si>
  <si>
    <t>Spinner loading khi tải dữ liệu</t>
  </si>
  <si>
    <t>1. Tải lại trang Inventory Overview</t>
  </si>
  <si>
    <t>Hiển thị StatePanel "Đang tải dữ liệu tồn kho" trong khi chờ</t>
  </si>
  <si>
    <t>Loading state hiện</t>
  </si>
  <si>
    <t>FUNC-TK28</t>
  </si>
  <si>
    <t>Error state khi API lỗi</t>
  </si>
  <si>
    <t>1. Tắt API server 2. Tải trang Inventory</t>
  </si>
  <si>
    <t>API không khả dụng</t>
  </si>
  <si>
    <t>Hiển thị StatePanel "Không tải được tồn kho – Kiểm tra kết nối API và thử lại." + nút "Thử lại"</t>
  </si>
  <si>
    <t>FUNC-TK29</t>
  </si>
  <si>
    <t>Highlight dòng Low Stock trong bảng</t>
  </si>
  <si>
    <t>1. Tải danh sách có sp Low Stock</t>
  </si>
  <si>
    <t>Dòng sp Low Stock có nền bg-amber-50, cột Available color amber-700, icon warning hiện</t>
  </si>
  <si>
    <t>Highlight đúng</t>
  </si>
  <si>
    <t>FUNC-TK30</t>
  </si>
  <si>
    <t>Bảng sp tracked by lot hiển thị nhãn phụ</t>
  </si>
  <si>
    <t>1. Tải sp có trackedByLot = true</t>
  </si>
  <si>
    <t>Sản phẩm quản lý theo lô</t>
  </si>
  <si>
    <t>Hiển thị nhãn "Tracked by lot" dưới tên sp</t>
  </si>
  <si>
    <t>Nhãn hiển thị</t>
  </si>
  <si>
    <t>17/4/2026</t>
  </si>
  <si>
    <t>FUNC-XH32</t>
  </si>
  <si>
    <t>Ô chọn loại sản phẩm khi tạo phiếu</t>
  </si>
  <si>
    <t>1. Chọn tạo phiếu.
2. Lướt xuống chọn sản phẩm</t>
  </si>
  <si>
    <t>Không thể lăn chuột</t>
  </si>
  <si>
    <t>Cho phép lăn chuột để tìm sản phẩm cần chọn</t>
  </si>
  <si>
    <t>17/4/2027</t>
  </si>
  <si>
    <t>Không tạo phiếu, Hiện lỗi validation</t>
  </si>
  <si>
    <t>Tự động giới hạn ở 256 ký tự</t>
  </si>
  <si>
    <t>Đạt mục tiêu</t>
  </si>
  <si>
    <t>Vẫn cho phép xuất phiếu</t>
  </si>
  <si>
    <t>FLASE</t>
  </si>
  <si>
    <t>GUI_SHOW Trang Quản lý tồn kho</t>
  </si>
  <si>
    <t>FUNCTION_SHOW Trang Quản lý tồn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</si>
</sst>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17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3"/>
      <name val="Times New Roman"/>
      <family val="1"/>
    </font>
    <font>
      <b/>
      <sz val="13"/>
      <color rgb="FFFFFFFF"/>
      <name val="Times New Roman"/>
      <family val="1"/>
    </font>
    <font>
      <b/>
      <sz val="13"/>
      <name val="Times New Roman"/>
      <family val="1"/>
    </font>
    <font>
      <b/>
      <sz val="13"/>
      <color indexed="9"/>
      <name val="Times New Roman"/>
      <family val="1"/>
    </font>
    <font>
      <sz val="10"/>
      <name val="Arial2"/>
    </font>
    <font>
      <sz val="13"/>
      <color rgb="FF000000"/>
      <name val="Times New Roman"/>
      <family val="1"/>
    </font>
    <font>
      <sz val="13"/>
      <color rgb="FF00000A"/>
      <name val="Times New Roman"/>
      <family val="1"/>
    </font>
    <font>
      <sz val="13"/>
      <color theme="9"/>
      <name val="Times New Roman"/>
      <family val="1"/>
    </font>
    <font>
      <sz val="13"/>
      <color rgb="FFFF0000"/>
      <name val="Times New Roman"/>
      <family val="1"/>
    </font>
    <font>
      <i/>
      <sz val="13"/>
      <color theme="1"/>
      <name val="Times New Roman"/>
      <family val="1"/>
    </font>
    <font>
      <sz val="11"/>
      <color theme="9"/>
      <name val="Calibri"/>
      <family val="2"/>
      <scheme val="minor"/>
    </font>
    <font>
      <b/>
      <sz val="13"/>
      <color theme="0"/>
      <name val="Times New Roman"/>
      <family val="1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3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38"/>
      </patternFill>
    </fill>
    <fill>
      <patternFill patternType="solid">
        <fgColor rgb="FF008080"/>
        <bgColor rgb="FF008080"/>
      </patternFill>
    </fill>
    <fill>
      <patternFill patternType="solid">
        <fgColor indexed="21"/>
        <bgColor indexed="38"/>
      </patternFill>
    </fill>
    <fill>
      <patternFill patternType="solid">
        <fgColor indexed="27"/>
        <bgColor indexed="41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8" fillId="0" borderId="0" applyBorder="0" applyProtection="0">
      <alignment vertical="center"/>
    </xf>
  </cellStyleXfs>
  <cellXfs count="7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top"/>
    </xf>
    <xf numFmtId="0" fontId="2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5" fillId="5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top"/>
    </xf>
    <xf numFmtId="164" fontId="4" fillId="0" borderId="0" xfId="0" applyNumberFormat="1" applyFont="1"/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2" applyFont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14" fontId="2" fillId="3" borderId="1" xfId="0" applyNumberFormat="1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14" fontId="9" fillId="0" borderId="1" xfId="0" applyNumberFormat="1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0" fontId="0" fillId="0" borderId="14" xfId="0" applyBorder="1"/>
    <xf numFmtId="0" fontId="9" fillId="0" borderId="1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0" fontId="6" fillId="7" borderId="13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vertical="center"/>
    </xf>
    <xf numFmtId="0" fontId="6" fillId="7" borderId="9" xfId="0" applyFont="1" applyFill="1" applyBorder="1" applyAlignment="1">
      <alignment vertical="center"/>
    </xf>
    <xf numFmtId="0" fontId="6" fillId="7" borderId="10" xfId="0" applyFont="1" applyFill="1" applyBorder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/>
    </xf>
    <xf numFmtId="0" fontId="2" fillId="3" borderId="4" xfId="0" applyFont="1" applyFill="1" applyBorder="1" applyAlignment="1">
      <alignment horizontal="left" vertical="top" wrapText="1"/>
    </xf>
    <xf numFmtId="0" fontId="0" fillId="0" borderId="1" xfId="0" applyBorder="1"/>
    <xf numFmtId="0" fontId="0" fillId="0" borderId="15" xfId="0" applyBorder="1"/>
    <xf numFmtId="0" fontId="11" fillId="0" borderId="0" xfId="0" applyFont="1" applyAlignment="1">
      <alignment horizontal="center" vertical="top"/>
    </xf>
    <xf numFmtId="0" fontId="14" fillId="0" borderId="0" xfId="0" applyFont="1"/>
    <xf numFmtId="0" fontId="15" fillId="6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top" wrapText="1"/>
    </xf>
    <xf numFmtId="0" fontId="11" fillId="3" borderId="5" xfId="0" applyFont="1" applyFill="1" applyBorder="1" applyAlignment="1">
      <alignment horizontal="left" vertical="top" wrapText="1"/>
    </xf>
    <xf numFmtId="14" fontId="2" fillId="3" borderId="5" xfId="0" applyNumberFormat="1" applyFont="1" applyFill="1" applyBorder="1" applyAlignment="1">
      <alignment horizontal="left" vertical="top" wrapText="1"/>
    </xf>
    <xf numFmtId="0" fontId="0" fillId="0" borderId="5" xfId="0" applyBorder="1"/>
    <xf numFmtId="0" fontId="0" fillId="0" borderId="1" xfId="0" applyBorder="1" applyAlignment="1">
      <alignment wrapText="1"/>
    </xf>
    <xf numFmtId="0" fontId="12" fillId="0" borderId="1" xfId="0" applyFont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3">
    <cellStyle name="Hyperlink" xfId="1" builtinId="8"/>
    <cellStyle name="Normal" xfId="0" builtinId="0"/>
    <cellStyle name="Normal 10" xfId="2" xr:uid="{8F136173-0962-48E0-B3D3-713EF39676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1045029</xdr:colOff>
      <xdr:row>5</xdr:row>
      <xdr:rowOff>65316</xdr:rowOff>
    </xdr:from>
    <xdr:to>
      <xdr:col>5</xdr:col>
      <xdr:colOff>1774372</xdr:colOff>
      <xdr:row>5</xdr:row>
      <xdr:rowOff>4696544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FA7A7F-5A8E-E791-328D-EB3C930EA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0943" y="1153887"/>
          <a:ext cx="9699172" cy="4631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2928257</xdr:colOff>
      <xdr:row>5</xdr:row>
      <xdr:rowOff>119744</xdr:rowOff>
    </xdr:from>
    <xdr:to>
      <xdr:col>4</xdr:col>
      <xdr:colOff>2884714</xdr:colOff>
      <xdr:row>5</xdr:row>
      <xdr:rowOff>4997118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FD2B7F-0575-36AE-2360-8FC71B199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95057" y="1208315"/>
          <a:ext cx="10297886" cy="4877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137B-4418-4139-80AF-FF61C286B6B5}">
  <dimension ref="A1:E11"/>
  <sheetViews>
    <sheetView tabSelected="1" workbookViewId="0">
      <selection activeCell="F13" sqref="F13"/>
    </sheetView>
  </sheetViews>
  <sheetFormatPr defaultRowHeight="14.4"/>
  <cols>
    <col min="1" max="1" width="11.77734375" bestFit="1" customWidth="1"/>
    <col min="2" max="2" width="42.21875" bestFit="1" customWidth="1"/>
    <col min="3" max="3" width="35.44140625" bestFit="1" customWidth="1"/>
    <col min="4" max="4" width="14.6640625" bestFit="1" customWidth="1"/>
    <col min="5" max="5" width="8.77734375" bestFit="1" customWidth="1"/>
  </cols>
  <sheetData>
    <row r="1" spans="1:5" ht="16.8" customHeight="1">
      <c r="A1" s="55" t="s">
        <v>31</v>
      </c>
      <c r="B1" s="55"/>
      <c r="C1" s="55"/>
      <c r="D1" s="55"/>
      <c r="E1" s="55"/>
    </row>
    <row r="2" spans="1:5" ht="16.8" customHeight="1">
      <c r="A2" s="55"/>
      <c r="B2" s="55"/>
      <c r="C2" s="55"/>
      <c r="D2" s="55"/>
      <c r="E2" s="55"/>
    </row>
    <row r="3" spans="1:5" ht="16.8">
      <c r="A3" s="1" t="s">
        <v>0</v>
      </c>
      <c r="B3" s="56" t="s">
        <v>1</v>
      </c>
      <c r="C3" s="57"/>
      <c r="D3" s="57"/>
      <c r="E3" s="2"/>
    </row>
    <row r="4" spans="1:5" ht="16.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16.8">
      <c r="A5" s="4">
        <v>1</v>
      </c>
      <c r="B5" s="35" t="s">
        <v>104</v>
      </c>
      <c r="C5" s="35" t="s">
        <v>104</v>
      </c>
      <c r="D5" s="5">
        <v>58</v>
      </c>
      <c r="E5" s="1"/>
    </row>
    <row r="6" spans="1:5" ht="16.8">
      <c r="A6" s="6">
        <v>2</v>
      </c>
      <c r="B6" s="6" t="s">
        <v>105</v>
      </c>
      <c r="C6" s="6" t="s">
        <v>105</v>
      </c>
      <c r="D6" s="5">
        <v>50</v>
      </c>
      <c r="E6" s="7"/>
    </row>
    <row r="7" spans="1:5" ht="16.8">
      <c r="A7" s="8"/>
      <c r="C7" s="9" t="s">
        <v>7</v>
      </c>
      <c r="D7" s="10">
        <f>SUM(D5:D6)</f>
        <v>108</v>
      </c>
      <c r="E7" s="11"/>
    </row>
    <row r="8" spans="1:5" ht="16.8">
      <c r="A8" s="8"/>
      <c r="B8" s="12"/>
      <c r="C8" s="13"/>
      <c r="D8" s="10"/>
      <c r="E8" s="11"/>
    </row>
    <row r="9" spans="1:5" ht="16.8">
      <c r="A9" s="8"/>
      <c r="B9" s="12"/>
      <c r="C9" s="13"/>
      <c r="D9" s="10"/>
      <c r="E9" s="11"/>
    </row>
    <row r="10" spans="1:5" ht="16.8">
      <c r="A10" s="14"/>
      <c r="B10" s="15"/>
      <c r="C10" s="10"/>
      <c r="D10" s="10"/>
      <c r="E10" s="16"/>
    </row>
    <row r="11" spans="1:5" ht="16.8">
      <c r="A11" s="10"/>
      <c r="B11" s="10"/>
      <c r="D11" s="10"/>
      <c r="E11" s="10"/>
    </row>
  </sheetData>
  <mergeCells count="2">
    <mergeCell ref="A1:E2"/>
    <mergeCell ref="B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647F-446E-455D-92C1-DEBE75E74235}">
  <dimension ref="A1:M70"/>
  <sheetViews>
    <sheetView zoomScale="70" zoomScaleNormal="70" workbookViewId="0">
      <selection activeCell="D42" sqref="D42"/>
    </sheetView>
  </sheetViews>
  <sheetFormatPr defaultRowHeight="14.4"/>
  <cols>
    <col min="1" max="1" width="15.44140625" bestFit="1" customWidth="1"/>
    <col min="2" max="2" width="28.6640625" customWidth="1"/>
    <col min="3" max="3" width="40.88671875" customWidth="1"/>
    <col min="4" max="4" width="22" customWidth="1"/>
    <col min="5" max="5" width="39.109375" customWidth="1"/>
    <col min="6" max="6" width="48.5546875" customWidth="1"/>
    <col min="7" max="7" width="15.6640625" style="66" customWidth="1"/>
    <col min="8" max="8" width="15.5546875" customWidth="1"/>
    <col min="9" max="9" width="17.6640625" customWidth="1"/>
    <col min="10" max="10" width="11.44140625" customWidth="1"/>
    <col min="11" max="11" width="18.109375" customWidth="1"/>
    <col min="12" max="12" width="16.6640625" customWidth="1"/>
    <col min="13" max="13" width="17.109375" customWidth="1"/>
  </cols>
  <sheetData>
    <row r="1" spans="1:13" ht="16.8">
      <c r="A1" s="17" t="s">
        <v>8</v>
      </c>
      <c r="B1" s="49" t="s">
        <v>1</v>
      </c>
      <c r="C1" s="50"/>
      <c r="D1" s="50"/>
      <c r="E1" s="50"/>
      <c r="F1" s="51"/>
      <c r="G1" s="65"/>
      <c r="H1" s="19"/>
      <c r="I1" s="20"/>
      <c r="J1" s="18"/>
      <c r="K1" s="20"/>
      <c r="L1" s="20"/>
      <c r="M1" s="20"/>
    </row>
    <row r="2" spans="1:13" ht="16.8">
      <c r="A2" s="17" t="s">
        <v>9</v>
      </c>
      <c r="B2" s="52" t="s">
        <v>32</v>
      </c>
      <c r="C2" s="53"/>
      <c r="D2" s="53"/>
      <c r="E2" s="53"/>
      <c r="F2" s="54"/>
      <c r="G2" s="65"/>
      <c r="H2" s="19"/>
      <c r="I2" s="20"/>
      <c r="J2" s="18"/>
      <c r="K2" s="20"/>
      <c r="L2" s="20"/>
      <c r="M2" s="20"/>
    </row>
    <row r="3" spans="1:13" ht="16.8">
      <c r="A3" s="21"/>
      <c r="B3" s="22" t="s">
        <v>10</v>
      </c>
      <c r="C3" s="22" t="s">
        <v>11</v>
      </c>
      <c r="D3" s="22" t="s">
        <v>12</v>
      </c>
      <c r="E3" s="22" t="s">
        <v>13</v>
      </c>
      <c r="F3" s="22" t="s">
        <v>14</v>
      </c>
      <c r="G3" s="65"/>
      <c r="H3" s="19"/>
      <c r="I3" s="20"/>
      <c r="J3" s="18"/>
      <c r="K3" s="20"/>
      <c r="L3" s="20"/>
      <c r="M3" s="20"/>
    </row>
    <row r="4" spans="1:13" ht="16.8">
      <c r="A4" s="23" t="s">
        <v>15</v>
      </c>
      <c r="B4" s="24">
        <v>58</v>
      </c>
      <c r="C4" s="24">
        <v>1</v>
      </c>
      <c r="D4" s="21">
        <f>COUNTIF(G11:G42,"Untested")</f>
        <v>0</v>
      </c>
      <c r="E4" s="25">
        <f>COUNTIF(G11:G42,"Blocked")</f>
        <v>0</v>
      </c>
      <c r="F4" s="21">
        <v>58</v>
      </c>
      <c r="G4" s="65"/>
      <c r="H4" s="19"/>
      <c r="I4" s="20"/>
      <c r="J4" s="18"/>
      <c r="K4" s="20"/>
      <c r="L4" s="20"/>
      <c r="M4" s="20"/>
    </row>
    <row r="5" spans="1:13" ht="16.8">
      <c r="A5" s="23" t="s">
        <v>16</v>
      </c>
      <c r="B5" s="24">
        <v>22</v>
      </c>
      <c r="C5" s="24">
        <v>0</v>
      </c>
      <c r="D5" s="21">
        <f>COUNTIF(J11:J42,"Untested")</f>
        <v>0</v>
      </c>
      <c r="E5" s="25">
        <f>COUNTIF(J11:J42,"Blocked")</f>
        <v>0</v>
      </c>
      <c r="F5" s="21">
        <v>22</v>
      </c>
      <c r="G5" s="65"/>
      <c r="H5" s="19"/>
      <c r="I5" s="20"/>
      <c r="J5" s="18"/>
      <c r="K5" s="20"/>
      <c r="L5" s="20"/>
      <c r="M5" s="20"/>
    </row>
    <row r="6" spans="1:13" ht="379.2" customHeight="1">
      <c r="A6" s="59"/>
      <c r="B6" s="59"/>
      <c r="C6" s="59"/>
      <c r="D6" s="59"/>
      <c r="E6" s="59"/>
      <c r="F6" s="59"/>
      <c r="G6" s="65"/>
      <c r="H6" s="19"/>
      <c r="I6" s="20"/>
      <c r="J6" s="18"/>
      <c r="K6" s="20"/>
      <c r="L6" s="20"/>
      <c r="M6" s="20"/>
    </row>
    <row r="7" spans="1:13" ht="16.8">
      <c r="A7" s="44" t="s">
        <v>17</v>
      </c>
      <c r="B7" s="44" t="s">
        <v>6</v>
      </c>
      <c r="C7" s="44" t="s">
        <v>18</v>
      </c>
      <c r="D7" s="44" t="s">
        <v>19</v>
      </c>
      <c r="E7" s="44" t="s">
        <v>20</v>
      </c>
      <c r="F7" s="44" t="s">
        <v>21</v>
      </c>
      <c r="G7" s="40" t="s">
        <v>22</v>
      </c>
      <c r="H7" s="41"/>
      <c r="I7" s="42"/>
      <c r="J7" s="40" t="s">
        <v>22</v>
      </c>
      <c r="K7" s="41"/>
      <c r="L7" s="42"/>
      <c r="M7" s="43" t="s">
        <v>23</v>
      </c>
    </row>
    <row r="8" spans="1:13" ht="16.8">
      <c r="A8" s="44"/>
      <c r="B8" s="44"/>
      <c r="C8" s="44"/>
      <c r="D8" s="44"/>
      <c r="E8" s="44"/>
      <c r="F8" s="44"/>
      <c r="G8" s="40" t="s">
        <v>24</v>
      </c>
      <c r="H8" s="41"/>
      <c r="I8" s="42"/>
      <c r="J8" s="40" t="s">
        <v>25</v>
      </c>
      <c r="K8" s="41"/>
      <c r="L8" s="42"/>
      <c r="M8" s="44"/>
    </row>
    <row r="9" spans="1:13" ht="33.6">
      <c r="A9" s="45"/>
      <c r="B9" s="45"/>
      <c r="C9" s="45"/>
      <c r="D9" s="45"/>
      <c r="E9" s="45"/>
      <c r="F9" s="45"/>
      <c r="G9" s="67" t="s">
        <v>26</v>
      </c>
      <c r="H9" s="26" t="s">
        <v>27</v>
      </c>
      <c r="I9" s="22" t="s">
        <v>28</v>
      </c>
      <c r="J9" s="22" t="s">
        <v>26</v>
      </c>
      <c r="K9" s="26" t="s">
        <v>27</v>
      </c>
      <c r="L9" s="22" t="s">
        <v>28</v>
      </c>
      <c r="M9" s="45"/>
    </row>
    <row r="10" spans="1:13" ht="16.8">
      <c r="A10" s="46" t="s">
        <v>33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8"/>
    </row>
    <row r="11" spans="1:13" ht="33.6">
      <c r="A11" s="27" t="s">
        <v>35</v>
      </c>
      <c r="B11" s="27" t="s">
        <v>107</v>
      </c>
      <c r="C11" s="27" t="s">
        <v>29</v>
      </c>
      <c r="D11" s="27" t="s">
        <v>29</v>
      </c>
      <c r="E11" s="27" t="s">
        <v>108</v>
      </c>
      <c r="F11" s="27" t="s">
        <v>108</v>
      </c>
      <c r="G11" s="60" t="s">
        <v>30</v>
      </c>
      <c r="H11" s="28" t="s">
        <v>565</v>
      </c>
      <c r="I11" s="27" t="s">
        <v>106</v>
      </c>
      <c r="J11" s="61"/>
      <c r="K11" s="30"/>
      <c r="L11" s="31"/>
      <c r="M11" s="32"/>
    </row>
    <row r="12" spans="1:13" ht="33.6">
      <c r="A12" s="27" t="s">
        <v>36</v>
      </c>
      <c r="B12" s="27" t="s">
        <v>109</v>
      </c>
      <c r="C12" s="27" t="s">
        <v>29</v>
      </c>
      <c r="D12" s="27" t="s">
        <v>29</v>
      </c>
      <c r="E12" s="27" t="s">
        <v>110</v>
      </c>
      <c r="F12" s="27" t="s">
        <v>110</v>
      </c>
      <c r="G12" s="60" t="s">
        <v>30</v>
      </c>
      <c r="H12" s="28" t="s">
        <v>565</v>
      </c>
      <c r="I12" s="27" t="s">
        <v>106</v>
      </c>
      <c r="J12" s="61"/>
      <c r="K12" s="30"/>
      <c r="L12" s="31"/>
      <c r="M12" s="32"/>
    </row>
    <row r="13" spans="1:13" ht="50.4">
      <c r="A13" s="27" t="s">
        <v>37</v>
      </c>
      <c r="B13" s="27" t="s">
        <v>111</v>
      </c>
      <c r="C13" s="27" t="s">
        <v>29</v>
      </c>
      <c r="D13" s="27" t="s">
        <v>29</v>
      </c>
      <c r="E13" s="27" t="s">
        <v>112</v>
      </c>
      <c r="F13" s="27" t="s">
        <v>112</v>
      </c>
      <c r="G13" s="60" t="s">
        <v>30</v>
      </c>
      <c r="H13" s="28" t="s">
        <v>565</v>
      </c>
      <c r="I13" s="27" t="s">
        <v>106</v>
      </c>
      <c r="J13" s="61"/>
      <c r="K13" s="30"/>
      <c r="L13" s="31"/>
      <c r="M13" s="32"/>
    </row>
    <row r="14" spans="1:13" ht="67.2">
      <c r="A14" s="27" t="s">
        <v>38</v>
      </c>
      <c r="B14" s="27" t="s">
        <v>113</v>
      </c>
      <c r="C14" s="27" t="s">
        <v>29</v>
      </c>
      <c r="D14" s="27" t="s">
        <v>29</v>
      </c>
      <c r="E14" s="27" t="s">
        <v>114</v>
      </c>
      <c r="F14" s="27" t="s">
        <v>115</v>
      </c>
      <c r="G14" s="60" t="s">
        <v>30</v>
      </c>
      <c r="H14" s="28" t="s">
        <v>565</v>
      </c>
      <c r="I14" s="27" t="s">
        <v>106</v>
      </c>
      <c r="J14" s="61"/>
      <c r="K14" s="30"/>
      <c r="L14" s="31"/>
      <c r="M14" s="32"/>
    </row>
    <row r="15" spans="1:13" ht="50.4">
      <c r="A15" s="27" t="s">
        <v>39</v>
      </c>
      <c r="B15" s="27" t="s">
        <v>116</v>
      </c>
      <c r="C15" s="27" t="s">
        <v>29</v>
      </c>
      <c r="D15" s="27" t="s">
        <v>29</v>
      </c>
      <c r="E15" s="27" t="s">
        <v>117</v>
      </c>
      <c r="F15" s="27" t="s">
        <v>118</v>
      </c>
      <c r="G15" s="60" t="s">
        <v>30</v>
      </c>
      <c r="H15" s="28" t="s">
        <v>565</v>
      </c>
      <c r="I15" s="27" t="s">
        <v>106</v>
      </c>
      <c r="J15" s="61"/>
      <c r="K15" s="30"/>
      <c r="L15" s="31"/>
      <c r="M15" s="32"/>
    </row>
    <row r="16" spans="1:13" ht="50.4">
      <c r="A16" s="27" t="s">
        <v>40</v>
      </c>
      <c r="B16" s="27" t="s">
        <v>119</v>
      </c>
      <c r="C16" s="27" t="s">
        <v>29</v>
      </c>
      <c r="D16" s="27" t="s">
        <v>29</v>
      </c>
      <c r="E16" s="27" t="s">
        <v>120</v>
      </c>
      <c r="F16" s="27" t="s">
        <v>121</v>
      </c>
      <c r="G16" s="60" t="s">
        <v>30</v>
      </c>
      <c r="H16" s="28" t="s">
        <v>565</v>
      </c>
      <c r="I16" s="27" t="s">
        <v>106</v>
      </c>
      <c r="J16" s="61"/>
      <c r="K16" s="30"/>
      <c r="L16" s="31"/>
      <c r="M16" s="32"/>
    </row>
    <row r="17" spans="1:13" ht="50.4">
      <c r="A17" s="27" t="s">
        <v>41</v>
      </c>
      <c r="B17" s="27" t="s">
        <v>122</v>
      </c>
      <c r="C17" s="27" t="s">
        <v>29</v>
      </c>
      <c r="D17" s="27" t="s">
        <v>123</v>
      </c>
      <c r="E17" s="27" t="s">
        <v>124</v>
      </c>
      <c r="F17" s="27" t="s">
        <v>125</v>
      </c>
      <c r="G17" s="60" t="s">
        <v>30</v>
      </c>
      <c r="H17" s="28" t="s">
        <v>565</v>
      </c>
      <c r="I17" s="27" t="s">
        <v>106</v>
      </c>
      <c r="J17" s="61"/>
      <c r="K17" s="30"/>
      <c r="L17" s="31"/>
      <c r="M17" s="32"/>
    </row>
    <row r="18" spans="1:13" ht="33.6">
      <c r="A18" s="27" t="s">
        <v>42</v>
      </c>
      <c r="B18" s="27" t="s">
        <v>126</v>
      </c>
      <c r="C18" s="27" t="s">
        <v>29</v>
      </c>
      <c r="D18" s="27" t="s">
        <v>127</v>
      </c>
      <c r="E18" s="27" t="s">
        <v>128</v>
      </c>
      <c r="F18" s="27" t="s">
        <v>128</v>
      </c>
      <c r="G18" s="60" t="s">
        <v>30</v>
      </c>
      <c r="H18" s="28" t="s">
        <v>565</v>
      </c>
      <c r="I18" s="27" t="s">
        <v>106</v>
      </c>
      <c r="J18" s="61"/>
      <c r="K18" s="30"/>
      <c r="L18" s="31"/>
      <c r="M18" s="32"/>
    </row>
    <row r="19" spans="1:13" ht="50.4">
      <c r="A19" s="27" t="s">
        <v>43</v>
      </c>
      <c r="B19" s="27" t="s">
        <v>129</v>
      </c>
      <c r="C19" s="27" t="s">
        <v>29</v>
      </c>
      <c r="D19" s="27" t="s">
        <v>68</v>
      </c>
      <c r="E19" s="27" t="s">
        <v>130</v>
      </c>
      <c r="F19" s="27" t="s">
        <v>131</v>
      </c>
      <c r="G19" s="60" t="s">
        <v>30</v>
      </c>
      <c r="H19" s="28" t="s">
        <v>565</v>
      </c>
      <c r="I19" s="27" t="s">
        <v>106</v>
      </c>
      <c r="J19" s="61"/>
      <c r="K19" s="30"/>
      <c r="L19" s="31"/>
      <c r="M19" s="32"/>
    </row>
    <row r="20" spans="1:13" ht="33.6">
      <c r="A20" s="27" t="s">
        <v>44</v>
      </c>
      <c r="B20" s="27" t="s">
        <v>132</v>
      </c>
      <c r="C20" s="27" t="s">
        <v>29</v>
      </c>
      <c r="D20" s="27" t="s">
        <v>133</v>
      </c>
      <c r="E20" s="27" t="s">
        <v>134</v>
      </c>
      <c r="F20" s="27" t="s">
        <v>135</v>
      </c>
      <c r="G20" s="60" t="s">
        <v>30</v>
      </c>
      <c r="H20" s="28" t="s">
        <v>565</v>
      </c>
      <c r="I20" s="27" t="s">
        <v>106</v>
      </c>
      <c r="J20" s="61"/>
      <c r="K20" s="30"/>
      <c r="L20" s="31"/>
      <c r="M20" s="32"/>
    </row>
    <row r="21" spans="1:13" ht="50.4">
      <c r="A21" s="27" t="s">
        <v>45</v>
      </c>
      <c r="B21" s="27" t="s">
        <v>136</v>
      </c>
      <c r="C21" s="27" t="s">
        <v>29</v>
      </c>
      <c r="D21" s="27" t="s">
        <v>137</v>
      </c>
      <c r="E21" s="27" t="s">
        <v>138</v>
      </c>
      <c r="F21" s="27" t="s">
        <v>139</v>
      </c>
      <c r="G21" s="60" t="s">
        <v>30</v>
      </c>
      <c r="H21" s="28" t="s">
        <v>565</v>
      </c>
      <c r="I21" s="27" t="s">
        <v>106</v>
      </c>
      <c r="J21" s="61"/>
      <c r="K21" s="30"/>
      <c r="L21" s="31"/>
      <c r="M21" s="32"/>
    </row>
    <row r="22" spans="1:13" ht="50.4">
      <c r="A22" s="27" t="s">
        <v>46</v>
      </c>
      <c r="B22" s="27" t="s">
        <v>140</v>
      </c>
      <c r="C22" s="27" t="s">
        <v>29</v>
      </c>
      <c r="D22" s="27" t="s">
        <v>137</v>
      </c>
      <c r="E22" s="27" t="s">
        <v>141</v>
      </c>
      <c r="F22" s="27" t="s">
        <v>142</v>
      </c>
      <c r="G22" s="60" t="s">
        <v>30</v>
      </c>
      <c r="H22" s="28" t="s">
        <v>565</v>
      </c>
      <c r="I22" s="27" t="s">
        <v>106</v>
      </c>
      <c r="J22" s="61"/>
      <c r="K22" s="30"/>
      <c r="L22" s="31"/>
      <c r="M22" s="32"/>
    </row>
    <row r="23" spans="1:13" ht="50.4">
      <c r="A23" s="27" t="s">
        <v>143</v>
      </c>
      <c r="B23" s="27" t="s">
        <v>144</v>
      </c>
      <c r="C23" s="27" t="s">
        <v>29</v>
      </c>
      <c r="D23" s="27" t="s">
        <v>137</v>
      </c>
      <c r="E23" s="27" t="s">
        <v>145</v>
      </c>
      <c r="F23" s="27" t="s">
        <v>146</v>
      </c>
      <c r="G23" s="60" t="s">
        <v>30</v>
      </c>
      <c r="H23" s="28" t="s">
        <v>565</v>
      </c>
      <c r="I23" s="27" t="s">
        <v>106</v>
      </c>
      <c r="J23" s="61"/>
      <c r="K23" s="30"/>
      <c r="L23" s="31"/>
      <c r="M23" s="32"/>
    </row>
    <row r="24" spans="1:13" ht="33.6">
      <c r="A24" s="27" t="s">
        <v>147</v>
      </c>
      <c r="B24" s="27" t="s">
        <v>148</v>
      </c>
      <c r="C24" s="27" t="s">
        <v>29</v>
      </c>
      <c r="D24" s="27" t="s">
        <v>137</v>
      </c>
      <c r="E24" s="27" t="s">
        <v>149</v>
      </c>
      <c r="F24" s="27" t="s">
        <v>150</v>
      </c>
      <c r="G24" s="60" t="s">
        <v>30</v>
      </c>
      <c r="H24" s="28" t="s">
        <v>565</v>
      </c>
      <c r="I24" s="27" t="s">
        <v>106</v>
      </c>
      <c r="J24" s="61"/>
      <c r="K24" s="30"/>
      <c r="L24" s="31"/>
      <c r="M24" s="32"/>
    </row>
    <row r="25" spans="1:13" ht="33.6">
      <c r="A25" s="27" t="s">
        <v>151</v>
      </c>
      <c r="B25" s="27" t="s">
        <v>152</v>
      </c>
      <c r="C25" s="27" t="s">
        <v>29</v>
      </c>
      <c r="D25" s="27" t="s">
        <v>137</v>
      </c>
      <c r="E25" s="27" t="s">
        <v>153</v>
      </c>
      <c r="F25" s="27" t="s">
        <v>150</v>
      </c>
      <c r="G25" s="60" t="s">
        <v>30</v>
      </c>
      <c r="H25" s="28" t="s">
        <v>565</v>
      </c>
      <c r="I25" s="27" t="s">
        <v>106</v>
      </c>
      <c r="J25" s="61"/>
      <c r="K25" s="30"/>
      <c r="L25" s="31"/>
      <c r="M25" s="32"/>
    </row>
    <row r="26" spans="1:13" ht="33.6">
      <c r="A26" s="27" t="s">
        <v>154</v>
      </c>
      <c r="B26" s="27" t="s">
        <v>155</v>
      </c>
      <c r="C26" s="27" t="s">
        <v>29</v>
      </c>
      <c r="D26" s="27" t="s">
        <v>137</v>
      </c>
      <c r="E26" s="27" t="s">
        <v>156</v>
      </c>
      <c r="F26" s="27" t="s">
        <v>150</v>
      </c>
      <c r="G26" s="60" t="s">
        <v>30</v>
      </c>
      <c r="H26" s="28" t="s">
        <v>565</v>
      </c>
      <c r="I26" s="27" t="s">
        <v>106</v>
      </c>
      <c r="J26" s="61"/>
      <c r="K26" s="30"/>
      <c r="L26" s="31"/>
      <c r="M26" s="32"/>
    </row>
    <row r="27" spans="1:13" ht="33.6">
      <c r="A27" s="27" t="s">
        <v>157</v>
      </c>
      <c r="B27" s="27" t="s">
        <v>158</v>
      </c>
      <c r="C27" s="27" t="s">
        <v>29</v>
      </c>
      <c r="D27" s="27" t="s">
        <v>159</v>
      </c>
      <c r="E27" s="27" t="s">
        <v>160</v>
      </c>
      <c r="F27" s="27" t="s">
        <v>139</v>
      </c>
      <c r="G27" s="60" t="s">
        <v>30</v>
      </c>
      <c r="H27" s="28" t="s">
        <v>565</v>
      </c>
      <c r="I27" s="27" t="s">
        <v>106</v>
      </c>
      <c r="J27" s="61"/>
      <c r="K27" s="30"/>
      <c r="L27" s="31"/>
      <c r="M27" s="32"/>
    </row>
    <row r="28" spans="1:13" ht="33.6">
      <c r="A28" s="27" t="s">
        <v>161</v>
      </c>
      <c r="B28" s="27" t="s">
        <v>162</v>
      </c>
      <c r="C28" s="27" t="s">
        <v>29</v>
      </c>
      <c r="D28" s="27" t="s">
        <v>159</v>
      </c>
      <c r="E28" s="27" t="s">
        <v>201</v>
      </c>
      <c r="F28" s="27" t="s">
        <v>139</v>
      </c>
      <c r="G28" s="60" t="s">
        <v>30</v>
      </c>
      <c r="H28" s="28" t="s">
        <v>565</v>
      </c>
      <c r="I28" s="27" t="s">
        <v>106</v>
      </c>
      <c r="J28" s="61"/>
      <c r="K28" s="30"/>
      <c r="L28" s="31"/>
      <c r="M28" s="32"/>
    </row>
    <row r="29" spans="1:13" ht="33.6">
      <c r="A29" s="27" t="s">
        <v>163</v>
      </c>
      <c r="B29" s="27" t="s">
        <v>164</v>
      </c>
      <c r="C29" s="27" t="s">
        <v>29</v>
      </c>
      <c r="D29" s="27" t="s">
        <v>165</v>
      </c>
      <c r="E29" s="27" t="s">
        <v>166</v>
      </c>
      <c r="F29" s="27" t="s">
        <v>167</v>
      </c>
      <c r="G29" s="60" t="s">
        <v>30</v>
      </c>
      <c r="H29" s="28" t="s">
        <v>565</v>
      </c>
      <c r="I29" s="27" t="s">
        <v>106</v>
      </c>
      <c r="J29" s="61"/>
      <c r="K29" s="30"/>
      <c r="L29" s="31"/>
      <c r="M29" s="32"/>
    </row>
    <row r="30" spans="1:13" ht="33.6">
      <c r="A30" s="27" t="s">
        <v>168</v>
      </c>
      <c r="B30" s="27" t="s">
        <v>169</v>
      </c>
      <c r="C30" s="27" t="s">
        <v>29</v>
      </c>
      <c r="D30" s="27" t="s">
        <v>159</v>
      </c>
      <c r="E30" s="27" t="s">
        <v>202</v>
      </c>
      <c r="F30" s="27" t="s">
        <v>170</v>
      </c>
      <c r="G30" s="60" t="s">
        <v>30</v>
      </c>
      <c r="H30" s="28" t="s">
        <v>565</v>
      </c>
      <c r="I30" s="27" t="s">
        <v>106</v>
      </c>
      <c r="J30" s="61"/>
      <c r="K30" s="30"/>
      <c r="L30" s="31"/>
      <c r="M30" s="32"/>
    </row>
    <row r="31" spans="1:13" ht="33.6">
      <c r="A31" s="27" t="s">
        <v>171</v>
      </c>
      <c r="B31" s="27" t="s">
        <v>172</v>
      </c>
      <c r="C31" s="27" t="s">
        <v>29</v>
      </c>
      <c r="D31" s="27" t="s">
        <v>173</v>
      </c>
      <c r="E31" s="27" t="s">
        <v>174</v>
      </c>
      <c r="F31" s="27" t="s">
        <v>175</v>
      </c>
      <c r="G31" s="60" t="s">
        <v>30</v>
      </c>
      <c r="H31" s="28" t="s">
        <v>565</v>
      </c>
      <c r="I31" s="27" t="s">
        <v>106</v>
      </c>
      <c r="J31" s="61"/>
      <c r="K31" s="30"/>
      <c r="L31" s="31"/>
      <c r="M31" s="32"/>
    </row>
    <row r="32" spans="1:13" ht="67.2">
      <c r="A32" s="27" t="s">
        <v>176</v>
      </c>
      <c r="B32" s="27" t="s">
        <v>177</v>
      </c>
      <c r="C32" s="27" t="s">
        <v>29</v>
      </c>
      <c r="D32" s="27" t="s">
        <v>173</v>
      </c>
      <c r="E32" s="27" t="s">
        <v>178</v>
      </c>
      <c r="F32" s="27" t="s">
        <v>179</v>
      </c>
      <c r="G32" s="60" t="s">
        <v>30</v>
      </c>
      <c r="H32" s="28" t="s">
        <v>565</v>
      </c>
      <c r="I32" s="27" t="s">
        <v>106</v>
      </c>
      <c r="J32" s="61"/>
      <c r="K32" s="30"/>
      <c r="L32" s="31"/>
      <c r="M32" s="32"/>
    </row>
    <row r="33" spans="1:13" ht="100.8">
      <c r="A33" s="27" t="s">
        <v>180</v>
      </c>
      <c r="B33" s="27" t="s">
        <v>181</v>
      </c>
      <c r="C33" s="27" t="s">
        <v>29</v>
      </c>
      <c r="D33" s="27" t="s">
        <v>173</v>
      </c>
      <c r="E33" s="27" t="s">
        <v>182</v>
      </c>
      <c r="F33" s="27" t="s">
        <v>183</v>
      </c>
      <c r="G33" s="60" t="s">
        <v>30</v>
      </c>
      <c r="H33" s="28" t="s">
        <v>565</v>
      </c>
      <c r="I33" s="27" t="s">
        <v>106</v>
      </c>
      <c r="J33" s="61"/>
      <c r="K33" s="30"/>
      <c r="L33" s="31"/>
      <c r="M33" s="32"/>
    </row>
    <row r="34" spans="1:13" ht="33.6">
      <c r="A34" s="27" t="s">
        <v>184</v>
      </c>
      <c r="B34" s="27" t="s">
        <v>185</v>
      </c>
      <c r="C34" s="27" t="s">
        <v>29</v>
      </c>
      <c r="D34" s="27" t="s">
        <v>186</v>
      </c>
      <c r="E34" s="27" t="s">
        <v>187</v>
      </c>
      <c r="F34" s="27" t="s">
        <v>150</v>
      </c>
      <c r="G34" s="60" t="s">
        <v>30</v>
      </c>
      <c r="H34" s="28" t="s">
        <v>565</v>
      </c>
      <c r="I34" s="27" t="s">
        <v>106</v>
      </c>
      <c r="J34" s="61"/>
      <c r="K34" s="30"/>
      <c r="L34" s="31"/>
      <c r="M34" s="32"/>
    </row>
    <row r="35" spans="1:13" ht="33.6">
      <c r="A35" s="27" t="s">
        <v>188</v>
      </c>
      <c r="B35" s="27" t="s">
        <v>189</v>
      </c>
      <c r="C35" s="27" t="s">
        <v>29</v>
      </c>
      <c r="D35" s="27" t="s">
        <v>190</v>
      </c>
      <c r="E35" s="27" t="s">
        <v>191</v>
      </c>
      <c r="F35" s="27" t="s">
        <v>150</v>
      </c>
      <c r="G35" s="60" t="s">
        <v>30</v>
      </c>
      <c r="H35" s="28" t="s">
        <v>565</v>
      </c>
      <c r="I35" s="27" t="s">
        <v>106</v>
      </c>
      <c r="J35" s="61"/>
      <c r="K35" s="30"/>
      <c r="L35" s="31"/>
      <c r="M35" s="32"/>
    </row>
    <row r="36" spans="1:13" ht="33.6">
      <c r="A36" s="27" t="s">
        <v>192</v>
      </c>
      <c r="B36" s="27" t="s">
        <v>193</v>
      </c>
      <c r="C36" s="27" t="s">
        <v>29</v>
      </c>
      <c r="D36" s="27" t="s">
        <v>194</v>
      </c>
      <c r="E36" s="27" t="s">
        <v>195</v>
      </c>
      <c r="F36" s="27" t="s">
        <v>196</v>
      </c>
      <c r="G36" s="60" t="s">
        <v>30</v>
      </c>
      <c r="H36" s="28" t="s">
        <v>565</v>
      </c>
      <c r="I36" s="27" t="s">
        <v>106</v>
      </c>
      <c r="J36" s="61"/>
      <c r="K36" s="30"/>
      <c r="L36" s="31"/>
      <c r="M36" s="32"/>
    </row>
    <row r="37" spans="1:13" ht="33.6">
      <c r="A37" s="27" t="s">
        <v>197</v>
      </c>
      <c r="B37" s="27" t="s">
        <v>198</v>
      </c>
      <c r="C37" s="27" t="s">
        <v>29</v>
      </c>
      <c r="D37" s="27" t="s">
        <v>199</v>
      </c>
      <c r="E37" s="27" t="s">
        <v>200</v>
      </c>
      <c r="F37" s="27" t="s">
        <v>150</v>
      </c>
      <c r="G37" s="60" t="s">
        <v>30</v>
      </c>
      <c r="H37" s="28" t="s">
        <v>565</v>
      </c>
      <c r="I37" s="27" t="s">
        <v>106</v>
      </c>
      <c r="J37" s="61"/>
      <c r="K37" s="30"/>
      <c r="L37" s="31"/>
      <c r="M37" s="32"/>
    </row>
    <row r="38" spans="1:13" ht="16.8">
      <c r="A38" s="36" t="s">
        <v>34</v>
      </c>
      <c r="B38" s="37"/>
      <c r="C38" s="37"/>
      <c r="D38" s="37"/>
      <c r="E38" s="37"/>
      <c r="F38" s="37"/>
      <c r="G38" s="37"/>
      <c r="H38" s="37"/>
      <c r="I38" s="37"/>
      <c r="J38" s="38"/>
      <c r="K38" s="38"/>
      <c r="L38" s="38"/>
      <c r="M38" s="39"/>
    </row>
    <row r="39" spans="1:13" ht="118.2" customHeight="1">
      <c r="A39" s="27" t="s">
        <v>203</v>
      </c>
      <c r="B39" s="27" t="s">
        <v>204</v>
      </c>
      <c r="C39" s="27" t="s">
        <v>205</v>
      </c>
      <c r="D39" s="27" t="s">
        <v>206</v>
      </c>
      <c r="E39" s="27" t="s">
        <v>207</v>
      </c>
      <c r="F39" s="27" t="s">
        <v>208</v>
      </c>
      <c r="G39" s="60" t="s">
        <v>30</v>
      </c>
      <c r="H39" s="28" t="s">
        <v>565</v>
      </c>
      <c r="I39" s="27" t="s">
        <v>106</v>
      </c>
      <c r="J39" s="62"/>
      <c r="K39" s="27"/>
      <c r="L39" s="27"/>
      <c r="M39" s="33"/>
    </row>
    <row r="40" spans="1:13" ht="67.2">
      <c r="A40" s="27" t="s">
        <v>47</v>
      </c>
      <c r="B40" s="27" t="s">
        <v>209</v>
      </c>
      <c r="C40" s="27" t="s">
        <v>210</v>
      </c>
      <c r="D40" s="27" t="s">
        <v>211</v>
      </c>
      <c r="E40" s="27" t="s">
        <v>212</v>
      </c>
      <c r="F40" s="27" t="s">
        <v>213</v>
      </c>
      <c r="G40" s="60" t="s">
        <v>30</v>
      </c>
      <c r="H40" s="28" t="s">
        <v>565</v>
      </c>
      <c r="I40" s="27" t="s">
        <v>106</v>
      </c>
      <c r="J40" s="62"/>
      <c r="K40" s="27"/>
      <c r="L40" s="27"/>
      <c r="M40" s="33"/>
    </row>
    <row r="41" spans="1:13" ht="50.4">
      <c r="A41" s="27" t="s">
        <v>48</v>
      </c>
      <c r="B41" s="27" t="s">
        <v>214</v>
      </c>
      <c r="C41" s="27" t="s">
        <v>215</v>
      </c>
      <c r="D41" s="27" t="s">
        <v>216</v>
      </c>
      <c r="E41" s="27" t="s">
        <v>217</v>
      </c>
      <c r="F41" s="27" t="s">
        <v>218</v>
      </c>
      <c r="G41" s="60" t="s">
        <v>30</v>
      </c>
      <c r="H41" s="28" t="s">
        <v>565</v>
      </c>
      <c r="I41" s="27" t="s">
        <v>106</v>
      </c>
      <c r="J41" s="62"/>
      <c r="K41" s="27"/>
      <c r="L41" s="27"/>
      <c r="M41" s="33"/>
    </row>
    <row r="42" spans="1:13" ht="50.4">
      <c r="A42" s="27" t="s">
        <v>49</v>
      </c>
      <c r="B42" s="27" t="s">
        <v>219</v>
      </c>
      <c r="C42" s="27" t="s">
        <v>220</v>
      </c>
      <c r="D42" s="27" t="s">
        <v>221</v>
      </c>
      <c r="E42" s="27" t="s">
        <v>222</v>
      </c>
      <c r="F42" s="27" t="s">
        <v>218</v>
      </c>
      <c r="G42" s="60" t="s">
        <v>30</v>
      </c>
      <c r="H42" s="28" t="s">
        <v>565</v>
      </c>
      <c r="I42" s="27" t="s">
        <v>106</v>
      </c>
      <c r="J42" s="62"/>
      <c r="K42" s="27"/>
      <c r="L42" s="27"/>
      <c r="M42" s="33"/>
    </row>
    <row r="43" spans="1:13" ht="33.6">
      <c r="A43" s="27" t="s">
        <v>50</v>
      </c>
      <c r="B43" s="27" t="s">
        <v>223</v>
      </c>
      <c r="C43" s="27" t="s">
        <v>224</v>
      </c>
      <c r="D43" s="27" t="s">
        <v>216</v>
      </c>
      <c r="E43" s="27" t="s">
        <v>225</v>
      </c>
      <c r="F43" s="27" t="s">
        <v>218</v>
      </c>
      <c r="G43" s="60" t="s">
        <v>30</v>
      </c>
      <c r="H43" s="28" t="s">
        <v>565</v>
      </c>
      <c r="I43" s="27" t="s">
        <v>106</v>
      </c>
      <c r="J43" s="62"/>
      <c r="K43" s="27"/>
      <c r="L43" s="27"/>
      <c r="M43" s="33"/>
    </row>
    <row r="44" spans="1:13" ht="50.4">
      <c r="A44" s="27" t="s">
        <v>51</v>
      </c>
      <c r="B44" s="27" t="s">
        <v>226</v>
      </c>
      <c r="C44" s="27" t="s">
        <v>227</v>
      </c>
      <c r="D44" s="27" t="s">
        <v>228</v>
      </c>
      <c r="E44" s="27" t="s">
        <v>222</v>
      </c>
      <c r="F44" s="27" t="s">
        <v>572</v>
      </c>
      <c r="G44" s="60" t="s">
        <v>30</v>
      </c>
      <c r="H44" s="28" t="s">
        <v>565</v>
      </c>
      <c r="I44" s="27" t="s">
        <v>106</v>
      </c>
      <c r="J44" s="62"/>
      <c r="K44" s="27"/>
      <c r="L44" s="27"/>
      <c r="M44" s="34"/>
    </row>
    <row r="45" spans="1:13" ht="33.6">
      <c r="A45" s="27" t="s">
        <v>52</v>
      </c>
      <c r="B45" s="27" t="s">
        <v>229</v>
      </c>
      <c r="C45" s="27" t="s">
        <v>230</v>
      </c>
      <c r="D45" s="27" t="s">
        <v>216</v>
      </c>
      <c r="E45" s="27" t="s">
        <v>231</v>
      </c>
      <c r="F45" s="27" t="s">
        <v>218</v>
      </c>
      <c r="G45" s="60" t="s">
        <v>30</v>
      </c>
      <c r="H45" s="28" t="s">
        <v>565</v>
      </c>
      <c r="I45" s="27" t="s">
        <v>106</v>
      </c>
      <c r="J45" s="62"/>
      <c r="K45" s="27"/>
      <c r="L45" s="27"/>
      <c r="M45" s="34"/>
    </row>
    <row r="46" spans="1:13" ht="33.6">
      <c r="A46" s="27" t="s">
        <v>53</v>
      </c>
      <c r="B46" s="27" t="s">
        <v>232</v>
      </c>
      <c r="C46" s="27" t="s">
        <v>233</v>
      </c>
      <c r="D46" s="27" t="s">
        <v>216</v>
      </c>
      <c r="E46" s="27" t="s">
        <v>573</v>
      </c>
      <c r="F46" s="27" t="s">
        <v>574</v>
      </c>
      <c r="G46" s="60" t="s">
        <v>30</v>
      </c>
      <c r="H46" s="28" t="s">
        <v>565</v>
      </c>
      <c r="I46" s="27" t="s">
        <v>106</v>
      </c>
      <c r="J46" s="62"/>
      <c r="K46" s="27"/>
      <c r="L46" s="27"/>
      <c r="M46" s="34"/>
    </row>
    <row r="47" spans="1:13" ht="33.6">
      <c r="A47" s="27" t="s">
        <v>54</v>
      </c>
      <c r="B47" s="27" t="s">
        <v>234</v>
      </c>
      <c r="C47" s="27" t="s">
        <v>235</v>
      </c>
      <c r="D47" s="27" t="s">
        <v>216</v>
      </c>
      <c r="E47" s="27" t="s">
        <v>236</v>
      </c>
      <c r="F47" s="27" t="s">
        <v>575</v>
      </c>
      <c r="G47" s="74" t="s">
        <v>576</v>
      </c>
      <c r="H47" s="28" t="s">
        <v>565</v>
      </c>
      <c r="I47" s="27" t="s">
        <v>106</v>
      </c>
      <c r="J47" s="62"/>
      <c r="K47" s="27"/>
      <c r="L47" s="27"/>
      <c r="M47" s="34"/>
    </row>
    <row r="48" spans="1:13" ht="50.4">
      <c r="A48" s="27" t="s">
        <v>55</v>
      </c>
      <c r="B48" s="27" t="s">
        <v>237</v>
      </c>
      <c r="C48" s="27" t="s">
        <v>238</v>
      </c>
      <c r="D48" s="27" t="s">
        <v>239</v>
      </c>
      <c r="E48" s="27" t="s">
        <v>240</v>
      </c>
      <c r="F48" s="27" t="s">
        <v>241</v>
      </c>
      <c r="G48" s="60" t="s">
        <v>30</v>
      </c>
      <c r="H48" s="28" t="s">
        <v>565</v>
      </c>
      <c r="I48" s="27" t="s">
        <v>106</v>
      </c>
      <c r="J48" s="62"/>
      <c r="K48" s="27"/>
      <c r="L48" s="27"/>
      <c r="M48" s="34"/>
    </row>
    <row r="49" spans="1:13" ht="50.4">
      <c r="A49" s="27" t="s">
        <v>57</v>
      </c>
      <c r="B49" s="27" t="s">
        <v>242</v>
      </c>
      <c r="C49" s="27" t="s">
        <v>243</v>
      </c>
      <c r="D49" s="27" t="s">
        <v>244</v>
      </c>
      <c r="E49" s="27" t="s">
        <v>245</v>
      </c>
      <c r="F49" s="27" t="s">
        <v>246</v>
      </c>
      <c r="G49" s="60" t="s">
        <v>30</v>
      </c>
      <c r="H49" s="28" t="s">
        <v>565</v>
      </c>
      <c r="I49" s="27" t="s">
        <v>106</v>
      </c>
      <c r="J49" s="62"/>
      <c r="K49" s="27"/>
      <c r="L49" s="27"/>
      <c r="M49" s="34"/>
    </row>
    <row r="50" spans="1:13" ht="33.6">
      <c r="A50" s="27" t="s">
        <v>59</v>
      </c>
      <c r="B50" s="27" t="s">
        <v>56</v>
      </c>
      <c r="C50" s="27" t="s">
        <v>247</v>
      </c>
      <c r="D50" s="27" t="s">
        <v>58</v>
      </c>
      <c r="E50" s="27" t="s">
        <v>248</v>
      </c>
      <c r="F50" s="27" t="s">
        <v>249</v>
      </c>
      <c r="G50" s="60" t="s">
        <v>30</v>
      </c>
      <c r="H50" s="28" t="s">
        <v>565</v>
      </c>
      <c r="I50" s="27" t="s">
        <v>106</v>
      </c>
      <c r="J50" s="62"/>
      <c r="K50" s="27"/>
      <c r="L50" s="27"/>
      <c r="M50" s="64"/>
    </row>
    <row r="51" spans="1:13" ht="50.4">
      <c r="A51" s="27" t="s">
        <v>60</v>
      </c>
      <c r="B51" s="27" t="s">
        <v>250</v>
      </c>
      <c r="C51" s="27" t="s">
        <v>251</v>
      </c>
      <c r="D51" s="27" t="s">
        <v>58</v>
      </c>
      <c r="E51" s="27" t="s">
        <v>252</v>
      </c>
      <c r="F51" s="27" t="s">
        <v>253</v>
      </c>
      <c r="G51" s="60" t="s">
        <v>30</v>
      </c>
      <c r="H51" s="28" t="s">
        <v>565</v>
      </c>
      <c r="I51" s="27" t="s">
        <v>106</v>
      </c>
      <c r="J51" s="62"/>
      <c r="K51" s="27"/>
      <c r="L51" s="27"/>
      <c r="M51" s="63"/>
    </row>
    <row r="52" spans="1:13" ht="33.6">
      <c r="A52" s="27" t="s">
        <v>61</v>
      </c>
      <c r="B52" s="27" t="s">
        <v>254</v>
      </c>
      <c r="C52" s="27" t="s">
        <v>255</v>
      </c>
      <c r="D52" s="27" t="s">
        <v>256</v>
      </c>
      <c r="E52" s="27" t="s">
        <v>257</v>
      </c>
      <c r="F52" s="27" t="s">
        <v>258</v>
      </c>
      <c r="G52" s="60" t="s">
        <v>30</v>
      </c>
      <c r="H52" s="28" t="s">
        <v>565</v>
      </c>
      <c r="I52" s="27" t="s">
        <v>106</v>
      </c>
      <c r="J52" s="62"/>
      <c r="K52" s="27"/>
      <c r="L52" s="27"/>
      <c r="M52" s="63"/>
    </row>
    <row r="53" spans="1:13" ht="16.8">
      <c r="A53" s="27" t="s">
        <v>63</v>
      </c>
      <c r="B53" s="27" t="s">
        <v>259</v>
      </c>
      <c r="C53" s="27" t="s">
        <v>260</v>
      </c>
      <c r="D53" s="27" t="s">
        <v>261</v>
      </c>
      <c r="E53" s="27" t="s">
        <v>262</v>
      </c>
      <c r="F53" s="27" t="s">
        <v>258</v>
      </c>
      <c r="G53" s="60" t="s">
        <v>30</v>
      </c>
      <c r="H53" s="28" t="s">
        <v>565</v>
      </c>
      <c r="I53" s="27" t="s">
        <v>106</v>
      </c>
      <c r="J53" s="62"/>
      <c r="K53" s="27"/>
      <c r="L53" s="27"/>
      <c r="M53" s="63"/>
    </row>
    <row r="54" spans="1:13" ht="33.6">
      <c r="A54" s="27" t="s">
        <v>64</v>
      </c>
      <c r="B54" s="27" t="s">
        <v>263</v>
      </c>
      <c r="C54" s="27" t="s">
        <v>264</v>
      </c>
      <c r="D54" s="27" t="s">
        <v>265</v>
      </c>
      <c r="E54" s="27" t="s">
        <v>266</v>
      </c>
      <c r="F54" s="27" t="s">
        <v>267</v>
      </c>
      <c r="G54" s="60" t="s">
        <v>30</v>
      </c>
      <c r="H54" s="28" t="s">
        <v>565</v>
      </c>
      <c r="I54" s="27" t="s">
        <v>106</v>
      </c>
      <c r="J54" s="62"/>
      <c r="K54" s="27"/>
      <c r="L54" s="27"/>
      <c r="M54" s="63"/>
    </row>
    <row r="55" spans="1:13" ht="33.6">
      <c r="A55" s="27" t="s">
        <v>65</v>
      </c>
      <c r="B55" s="27" t="s">
        <v>268</v>
      </c>
      <c r="C55" s="27" t="s">
        <v>269</v>
      </c>
      <c r="D55" s="27" t="s">
        <v>270</v>
      </c>
      <c r="E55" s="27" t="s">
        <v>271</v>
      </c>
      <c r="F55" s="27" t="s">
        <v>272</v>
      </c>
      <c r="G55" s="60" t="s">
        <v>30</v>
      </c>
      <c r="H55" s="28" t="s">
        <v>565</v>
      </c>
      <c r="I55" s="27" t="s">
        <v>106</v>
      </c>
      <c r="J55" s="62"/>
      <c r="K55" s="27"/>
      <c r="L55" s="27"/>
      <c r="M55" s="63"/>
    </row>
    <row r="56" spans="1:13" ht="33.6">
      <c r="A56" s="27" t="s">
        <v>66</v>
      </c>
      <c r="B56" s="27" t="s">
        <v>62</v>
      </c>
      <c r="C56" s="27" t="s">
        <v>273</v>
      </c>
      <c r="D56" s="27" t="s">
        <v>274</v>
      </c>
      <c r="E56" s="27" t="s">
        <v>275</v>
      </c>
      <c r="F56" s="27" t="s">
        <v>276</v>
      </c>
      <c r="G56" s="60" t="s">
        <v>30</v>
      </c>
      <c r="H56" s="28" t="s">
        <v>565</v>
      </c>
      <c r="I56" s="27" t="s">
        <v>106</v>
      </c>
      <c r="J56" s="62"/>
      <c r="K56" s="27"/>
      <c r="L56" s="27"/>
      <c r="M56" s="63"/>
    </row>
    <row r="57" spans="1:13" ht="33.6">
      <c r="A57" s="27" t="s">
        <v>67</v>
      </c>
      <c r="B57" s="27" t="s">
        <v>277</v>
      </c>
      <c r="C57" s="27" t="s">
        <v>278</v>
      </c>
      <c r="D57" s="27" t="s">
        <v>186</v>
      </c>
      <c r="E57" s="27" t="s">
        <v>279</v>
      </c>
      <c r="F57" s="27" t="s">
        <v>280</v>
      </c>
      <c r="G57" s="60" t="s">
        <v>30</v>
      </c>
      <c r="H57" s="28" t="s">
        <v>565</v>
      </c>
      <c r="I57" s="27" t="s">
        <v>106</v>
      </c>
      <c r="J57" s="62"/>
      <c r="K57" s="27"/>
      <c r="L57" s="27"/>
      <c r="M57" s="63"/>
    </row>
    <row r="58" spans="1:13" ht="50.4">
      <c r="A58" s="27" t="s">
        <v>69</v>
      </c>
      <c r="B58" s="27" t="s">
        <v>281</v>
      </c>
      <c r="C58" s="27" t="s">
        <v>282</v>
      </c>
      <c r="D58" s="27" t="s">
        <v>283</v>
      </c>
      <c r="E58" s="27" t="s">
        <v>284</v>
      </c>
      <c r="F58" s="27" t="s">
        <v>285</v>
      </c>
      <c r="G58" s="60" t="s">
        <v>30</v>
      </c>
      <c r="H58" s="28" t="s">
        <v>565</v>
      </c>
      <c r="I58" s="27" t="s">
        <v>106</v>
      </c>
      <c r="J58" s="62"/>
      <c r="K58" s="27"/>
      <c r="L58" s="27"/>
      <c r="M58" s="63"/>
    </row>
    <row r="59" spans="1:13" ht="50.4">
      <c r="A59" s="27" t="s">
        <v>70</v>
      </c>
      <c r="B59" s="27" t="s">
        <v>286</v>
      </c>
      <c r="C59" s="27" t="s">
        <v>287</v>
      </c>
      <c r="D59" s="27" t="s">
        <v>288</v>
      </c>
      <c r="E59" s="27" t="s">
        <v>289</v>
      </c>
      <c r="F59" s="27" t="s">
        <v>290</v>
      </c>
      <c r="G59" s="60" t="s">
        <v>30</v>
      </c>
      <c r="H59" s="28" t="s">
        <v>565</v>
      </c>
      <c r="I59" s="27" t="s">
        <v>106</v>
      </c>
      <c r="J59" s="62"/>
      <c r="K59" s="27"/>
      <c r="L59" s="27"/>
      <c r="M59" s="63"/>
    </row>
    <row r="60" spans="1:13" ht="50.4">
      <c r="A60" s="27" t="s">
        <v>71</v>
      </c>
      <c r="B60" s="27" t="s">
        <v>291</v>
      </c>
      <c r="C60" s="27" t="s">
        <v>292</v>
      </c>
      <c r="D60" s="27" t="s">
        <v>293</v>
      </c>
      <c r="E60" s="27" t="s">
        <v>294</v>
      </c>
      <c r="F60" s="27" t="s">
        <v>295</v>
      </c>
      <c r="G60" s="60" t="s">
        <v>30</v>
      </c>
      <c r="H60" s="28" t="s">
        <v>565</v>
      </c>
      <c r="I60" s="27" t="s">
        <v>106</v>
      </c>
      <c r="J60" s="62"/>
      <c r="K60" s="27"/>
      <c r="L60" s="27"/>
      <c r="M60" s="63"/>
    </row>
    <row r="61" spans="1:13" ht="33.6">
      <c r="A61" s="27" t="s">
        <v>296</v>
      </c>
      <c r="B61" s="27" t="s">
        <v>297</v>
      </c>
      <c r="C61" s="27" t="s">
        <v>298</v>
      </c>
      <c r="D61" s="27" t="s">
        <v>293</v>
      </c>
      <c r="E61" s="27" t="s">
        <v>299</v>
      </c>
      <c r="F61" s="27" t="s">
        <v>300</v>
      </c>
      <c r="G61" s="60" t="s">
        <v>30</v>
      </c>
      <c r="H61" s="28" t="s">
        <v>565</v>
      </c>
      <c r="I61" s="27" t="s">
        <v>106</v>
      </c>
      <c r="J61" s="63"/>
      <c r="K61" s="63"/>
      <c r="L61" s="63"/>
      <c r="M61" s="63"/>
    </row>
    <row r="62" spans="1:13" ht="50.4">
      <c r="A62" s="27" t="s">
        <v>301</v>
      </c>
      <c r="B62" s="27" t="s">
        <v>302</v>
      </c>
      <c r="C62" s="27" t="s">
        <v>303</v>
      </c>
      <c r="D62" s="27" t="s">
        <v>304</v>
      </c>
      <c r="E62" s="27" t="s">
        <v>305</v>
      </c>
      <c r="F62" s="27" t="s">
        <v>276</v>
      </c>
      <c r="G62" s="60" t="s">
        <v>30</v>
      </c>
      <c r="H62" s="28" t="s">
        <v>565</v>
      </c>
      <c r="I62" s="27" t="s">
        <v>106</v>
      </c>
      <c r="J62" s="63"/>
      <c r="K62" s="63"/>
      <c r="L62" s="63"/>
      <c r="M62" s="63"/>
    </row>
    <row r="63" spans="1:13" ht="50.4">
      <c r="A63" s="27" t="s">
        <v>306</v>
      </c>
      <c r="B63" s="27" t="s">
        <v>307</v>
      </c>
      <c r="C63" s="27" t="s">
        <v>308</v>
      </c>
      <c r="D63" s="27" t="s">
        <v>309</v>
      </c>
      <c r="E63" s="27" t="s">
        <v>305</v>
      </c>
      <c r="F63" s="27" t="s">
        <v>276</v>
      </c>
      <c r="G63" s="60" t="s">
        <v>30</v>
      </c>
      <c r="H63" s="28" t="s">
        <v>565</v>
      </c>
      <c r="I63" s="27" t="s">
        <v>106</v>
      </c>
      <c r="J63" s="63"/>
      <c r="K63" s="63"/>
      <c r="L63" s="63"/>
      <c r="M63" s="63"/>
    </row>
    <row r="64" spans="1:13" ht="50.4">
      <c r="A64" s="27" t="s">
        <v>310</v>
      </c>
      <c r="B64" s="27" t="s">
        <v>311</v>
      </c>
      <c r="C64" s="27" t="s">
        <v>312</v>
      </c>
      <c r="D64" s="27" t="s">
        <v>313</v>
      </c>
      <c r="E64" s="27" t="s">
        <v>314</v>
      </c>
      <c r="F64" s="27" t="s">
        <v>315</v>
      </c>
      <c r="G64" s="60" t="s">
        <v>30</v>
      </c>
      <c r="H64" s="28" t="s">
        <v>565</v>
      </c>
      <c r="I64" s="27" t="s">
        <v>106</v>
      </c>
      <c r="J64" s="63"/>
      <c r="K64" s="63"/>
      <c r="L64" s="63"/>
      <c r="M64" s="63"/>
    </row>
    <row r="65" spans="1:13" ht="33.6">
      <c r="A65" s="27" t="s">
        <v>316</v>
      </c>
      <c r="B65" s="27" t="s">
        <v>317</v>
      </c>
      <c r="C65" s="27" t="s">
        <v>318</v>
      </c>
      <c r="D65" s="27" t="s">
        <v>319</v>
      </c>
      <c r="E65" s="27" t="s">
        <v>320</v>
      </c>
      <c r="F65" s="27" t="s">
        <v>321</v>
      </c>
      <c r="G65" s="60" t="s">
        <v>30</v>
      </c>
      <c r="H65" s="28" t="s">
        <v>565</v>
      </c>
      <c r="I65" s="27" t="s">
        <v>106</v>
      </c>
      <c r="J65" s="63"/>
      <c r="K65" s="63"/>
      <c r="L65" s="63"/>
      <c r="M65" s="63"/>
    </row>
    <row r="66" spans="1:13" ht="33.6">
      <c r="A66" s="27" t="s">
        <v>322</v>
      </c>
      <c r="B66" s="27" t="s">
        <v>323</v>
      </c>
      <c r="C66" s="27" t="s">
        <v>324</v>
      </c>
      <c r="D66" s="27" t="s">
        <v>325</v>
      </c>
      <c r="E66" s="27" t="s">
        <v>326</v>
      </c>
      <c r="F66" s="27" t="s">
        <v>327</v>
      </c>
      <c r="G66" s="60" t="s">
        <v>30</v>
      </c>
      <c r="H66" s="28" t="s">
        <v>565</v>
      </c>
      <c r="I66" s="27" t="s">
        <v>106</v>
      </c>
      <c r="J66" s="63"/>
      <c r="K66" s="63"/>
      <c r="L66" s="63"/>
      <c r="M66" s="63"/>
    </row>
    <row r="67" spans="1:13" ht="33.6">
      <c r="A67" s="27" t="s">
        <v>328</v>
      </c>
      <c r="B67" s="27" t="s">
        <v>329</v>
      </c>
      <c r="C67" s="27" t="s">
        <v>330</v>
      </c>
      <c r="D67" s="27" t="s">
        <v>331</v>
      </c>
      <c r="E67" s="27" t="s">
        <v>332</v>
      </c>
      <c r="F67" s="27" t="s">
        <v>333</v>
      </c>
      <c r="G67" s="60" t="s">
        <v>30</v>
      </c>
      <c r="H67" s="28" t="s">
        <v>565</v>
      </c>
      <c r="I67" s="27" t="s">
        <v>106</v>
      </c>
      <c r="J67" s="63"/>
      <c r="K67" s="63"/>
      <c r="L67" s="63"/>
      <c r="M67" s="63"/>
    </row>
    <row r="68" spans="1:13" ht="50.4">
      <c r="A68" s="27" t="s">
        <v>334</v>
      </c>
      <c r="B68" s="27" t="s">
        <v>335</v>
      </c>
      <c r="C68" s="27" t="s">
        <v>336</v>
      </c>
      <c r="D68" s="27" t="s">
        <v>337</v>
      </c>
      <c r="E68" s="27" t="s">
        <v>338</v>
      </c>
      <c r="F68" s="27" t="s">
        <v>339</v>
      </c>
      <c r="G68" s="60" t="s">
        <v>30</v>
      </c>
      <c r="H68" s="28" t="s">
        <v>565</v>
      </c>
      <c r="I68" s="27" t="s">
        <v>106</v>
      </c>
      <c r="J68" s="63"/>
      <c r="K68" s="63"/>
      <c r="L68" s="63"/>
      <c r="M68" s="63"/>
    </row>
    <row r="69" spans="1:13" ht="33.6">
      <c r="A69" s="68" t="s">
        <v>340</v>
      </c>
      <c r="B69" s="68" t="s">
        <v>341</v>
      </c>
      <c r="C69" s="68" t="s">
        <v>342</v>
      </c>
      <c r="D69" s="68" t="s">
        <v>343</v>
      </c>
      <c r="E69" s="68" t="s">
        <v>344</v>
      </c>
      <c r="F69" s="68" t="s">
        <v>345</v>
      </c>
      <c r="G69" s="69" t="s">
        <v>30</v>
      </c>
      <c r="H69" s="70" t="s">
        <v>565</v>
      </c>
      <c r="I69" s="68" t="s">
        <v>106</v>
      </c>
      <c r="J69" s="71"/>
      <c r="K69" s="71"/>
      <c r="L69" s="71"/>
      <c r="M69" s="71"/>
    </row>
    <row r="70" spans="1:13" s="63" customFormat="1" ht="33.6">
      <c r="A70" s="27" t="s">
        <v>566</v>
      </c>
      <c r="B70" s="27" t="s">
        <v>567</v>
      </c>
      <c r="C70" s="72" t="s">
        <v>568</v>
      </c>
      <c r="D70" s="27" t="s">
        <v>29</v>
      </c>
      <c r="E70" s="27" t="s">
        <v>570</v>
      </c>
      <c r="F70" s="27" t="s">
        <v>569</v>
      </c>
      <c r="G70" s="73" t="b">
        <v>0</v>
      </c>
      <c r="H70" s="28" t="s">
        <v>571</v>
      </c>
      <c r="I70" s="27" t="s">
        <v>106</v>
      </c>
    </row>
  </sheetData>
  <mergeCells count="16">
    <mergeCell ref="B1:F1"/>
    <mergeCell ref="B2:F2"/>
    <mergeCell ref="A7:A9"/>
    <mergeCell ref="B7:B9"/>
    <mergeCell ref="C7:C9"/>
    <mergeCell ref="D7:D9"/>
    <mergeCell ref="E7:E9"/>
    <mergeCell ref="F7:F9"/>
    <mergeCell ref="A6:F6"/>
    <mergeCell ref="A38:M38"/>
    <mergeCell ref="G7:I7"/>
    <mergeCell ref="J7:L7"/>
    <mergeCell ref="M7:M9"/>
    <mergeCell ref="G8:I8"/>
    <mergeCell ref="J8:L8"/>
    <mergeCell ref="A10:M10"/>
  </mergeCells>
  <phoneticPr fontId="16" type="noConversion"/>
  <dataValidations count="1">
    <dataValidation type="list" operator="equal" allowBlank="1" showErrorMessage="1" promptTitle="dfdf" sqref="J11:J37" xr:uid="{D8704662-9BB7-48B1-A1DB-80106F9C9E7E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39F04-2901-4398-B53D-15C75110DA8D}">
  <dimension ref="A1:M61"/>
  <sheetViews>
    <sheetView zoomScale="70" zoomScaleNormal="70" workbookViewId="0">
      <selection activeCell="C61" sqref="C61"/>
    </sheetView>
  </sheetViews>
  <sheetFormatPr defaultRowHeight="14.4"/>
  <cols>
    <col min="1" max="1" width="15.5546875" bestFit="1" customWidth="1"/>
    <col min="2" max="2" width="44.21875" bestFit="1" customWidth="1"/>
    <col min="3" max="3" width="67.5546875" bestFit="1" customWidth="1"/>
    <col min="4" max="4" width="38.88671875" bestFit="1" customWidth="1"/>
    <col min="5" max="5" width="68" bestFit="1" customWidth="1"/>
    <col min="6" max="6" width="42.6640625" bestFit="1" customWidth="1"/>
    <col min="7" max="7" width="12.109375" style="66" bestFit="1" customWidth="1"/>
    <col min="8" max="8" width="15.77734375" bestFit="1" customWidth="1"/>
    <col min="9" max="9" width="17" bestFit="1" customWidth="1"/>
    <col min="10" max="10" width="11.6640625" bestFit="1" customWidth="1"/>
    <col min="11" max="11" width="15.88671875" bestFit="1" customWidth="1"/>
    <col min="12" max="12" width="16.88671875" bestFit="1" customWidth="1"/>
    <col min="13" max="13" width="11.33203125" bestFit="1" customWidth="1"/>
  </cols>
  <sheetData>
    <row r="1" spans="1:13" ht="16.8">
      <c r="A1" s="17" t="s">
        <v>8</v>
      </c>
      <c r="B1" s="49" t="s">
        <v>1</v>
      </c>
      <c r="C1" s="50"/>
      <c r="D1" s="50"/>
      <c r="E1" s="50"/>
      <c r="F1" s="51"/>
      <c r="G1" s="65"/>
      <c r="H1" s="19"/>
      <c r="I1" s="20"/>
      <c r="J1" s="18"/>
      <c r="K1" s="20"/>
      <c r="L1" s="20"/>
      <c r="M1" s="20"/>
    </row>
    <row r="2" spans="1:13" ht="16.8">
      <c r="A2" s="17" t="s">
        <v>9</v>
      </c>
      <c r="B2" s="52" t="s">
        <v>105</v>
      </c>
      <c r="C2" s="53"/>
      <c r="D2" s="53"/>
      <c r="E2" s="53"/>
      <c r="F2" s="54"/>
      <c r="G2" s="65"/>
      <c r="H2" s="19"/>
      <c r="I2" s="20"/>
      <c r="J2" s="18"/>
      <c r="K2" s="20"/>
      <c r="L2" s="20"/>
      <c r="M2" s="20"/>
    </row>
    <row r="3" spans="1:13" ht="16.8">
      <c r="A3" s="21"/>
      <c r="B3" s="22" t="s">
        <v>10</v>
      </c>
      <c r="C3" s="22" t="s">
        <v>11</v>
      </c>
      <c r="D3" s="22" t="s">
        <v>12</v>
      </c>
      <c r="E3" s="22" t="s">
        <v>13</v>
      </c>
      <c r="F3" s="22" t="s">
        <v>14</v>
      </c>
      <c r="G3" s="65"/>
      <c r="H3" s="19"/>
      <c r="I3" s="20"/>
      <c r="J3" s="18"/>
      <c r="K3" s="20"/>
      <c r="L3" s="20"/>
      <c r="M3" s="20"/>
    </row>
    <row r="4" spans="1:13" ht="16.8">
      <c r="A4" s="23" t="s">
        <v>15</v>
      </c>
      <c r="B4" s="24">
        <v>50</v>
      </c>
      <c r="C4" s="24">
        <v>0</v>
      </c>
      <c r="D4" s="21">
        <f>COUNTIF(G11:G35,"Untested")</f>
        <v>0</v>
      </c>
      <c r="E4" s="25">
        <f>COUNTIF(G11:G35,"Blocked")</f>
        <v>0</v>
      </c>
      <c r="F4" s="21">
        <v>50</v>
      </c>
      <c r="G4" s="65"/>
      <c r="H4" s="19"/>
      <c r="I4" s="20"/>
      <c r="J4" s="18"/>
      <c r="K4" s="20"/>
      <c r="L4" s="20"/>
      <c r="M4" s="20"/>
    </row>
    <row r="5" spans="1:13" ht="16.8">
      <c r="A5" s="23" t="s">
        <v>16</v>
      </c>
      <c r="B5" s="24">
        <v>23</v>
      </c>
      <c r="C5" s="24">
        <v>0</v>
      </c>
      <c r="D5" s="21">
        <f>COUNTIF(J11:J35,"Untested")</f>
        <v>0</v>
      </c>
      <c r="E5" s="25">
        <f>COUNTIF(J11:J35,"Blocked")</f>
        <v>0</v>
      </c>
      <c r="F5" s="21">
        <v>23</v>
      </c>
      <c r="G5" s="65"/>
      <c r="H5" s="19"/>
      <c r="I5" s="20"/>
      <c r="J5" s="18"/>
      <c r="K5" s="20"/>
      <c r="L5" s="20"/>
      <c r="M5" s="20"/>
    </row>
    <row r="6" spans="1:13" ht="408.6" customHeight="1">
      <c r="A6" s="75"/>
      <c r="B6" s="58"/>
      <c r="C6" s="58"/>
      <c r="D6" s="58"/>
      <c r="E6" s="58"/>
      <c r="F6" s="76"/>
      <c r="G6" s="65"/>
      <c r="H6" s="19"/>
      <c r="I6" s="20"/>
      <c r="J6" s="18"/>
      <c r="K6" s="20"/>
      <c r="L6" s="20"/>
      <c r="M6" s="20"/>
    </row>
    <row r="7" spans="1:13" ht="16.8">
      <c r="A7" s="43" t="s">
        <v>17</v>
      </c>
      <c r="B7" s="43" t="s">
        <v>6</v>
      </c>
      <c r="C7" s="43" t="s">
        <v>18</v>
      </c>
      <c r="D7" s="43" t="s">
        <v>19</v>
      </c>
      <c r="E7" s="43" t="s">
        <v>20</v>
      </c>
      <c r="F7" s="43" t="s">
        <v>21</v>
      </c>
      <c r="G7" s="40" t="s">
        <v>22</v>
      </c>
      <c r="H7" s="41"/>
      <c r="I7" s="42"/>
      <c r="J7" s="40" t="s">
        <v>22</v>
      </c>
      <c r="K7" s="41"/>
      <c r="L7" s="42"/>
      <c r="M7" s="43" t="s">
        <v>23</v>
      </c>
    </row>
    <row r="8" spans="1:13" ht="16.8">
      <c r="A8" s="44"/>
      <c r="B8" s="44"/>
      <c r="C8" s="44"/>
      <c r="D8" s="44"/>
      <c r="E8" s="44"/>
      <c r="F8" s="44"/>
      <c r="G8" s="40" t="s">
        <v>24</v>
      </c>
      <c r="H8" s="41"/>
      <c r="I8" s="42"/>
      <c r="J8" s="40" t="s">
        <v>25</v>
      </c>
      <c r="K8" s="41"/>
      <c r="L8" s="42"/>
      <c r="M8" s="44"/>
    </row>
    <row r="9" spans="1:13" ht="33.6">
      <c r="A9" s="45"/>
      <c r="B9" s="45"/>
      <c r="C9" s="45"/>
      <c r="D9" s="45"/>
      <c r="E9" s="45"/>
      <c r="F9" s="45"/>
      <c r="G9" s="67" t="s">
        <v>26</v>
      </c>
      <c r="H9" s="26" t="s">
        <v>27</v>
      </c>
      <c r="I9" s="22" t="s">
        <v>28</v>
      </c>
      <c r="J9" s="22" t="s">
        <v>26</v>
      </c>
      <c r="K9" s="26" t="s">
        <v>27</v>
      </c>
      <c r="L9" s="22" t="s">
        <v>28</v>
      </c>
      <c r="M9" s="45"/>
    </row>
    <row r="10" spans="1:13" ht="16.8">
      <c r="A10" s="46" t="s">
        <v>577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8"/>
    </row>
    <row r="11" spans="1:13" ht="33.6" customHeight="1">
      <c r="A11" s="27" t="s">
        <v>72</v>
      </c>
      <c r="B11" s="27" t="s">
        <v>346</v>
      </c>
      <c r="C11" s="27" t="s">
        <v>29</v>
      </c>
      <c r="D11" s="27" t="s">
        <v>29</v>
      </c>
      <c r="E11" s="27" t="s">
        <v>347</v>
      </c>
      <c r="F11" s="27" t="s">
        <v>348</v>
      </c>
      <c r="G11" s="60" t="s">
        <v>30</v>
      </c>
      <c r="H11" s="28">
        <v>46239</v>
      </c>
      <c r="I11" s="27" t="s">
        <v>73</v>
      </c>
      <c r="J11" s="29"/>
      <c r="K11" s="30"/>
      <c r="L11" s="31"/>
      <c r="M11" s="32"/>
    </row>
    <row r="12" spans="1:13" ht="33.6" customHeight="1">
      <c r="A12" s="27" t="s">
        <v>74</v>
      </c>
      <c r="B12" s="27" t="s">
        <v>349</v>
      </c>
      <c r="C12" s="27" t="s">
        <v>29</v>
      </c>
      <c r="D12" s="27" t="s">
        <v>29</v>
      </c>
      <c r="E12" s="27" t="s">
        <v>350</v>
      </c>
      <c r="F12" s="27" t="s">
        <v>351</v>
      </c>
      <c r="G12" s="60" t="s">
        <v>30</v>
      </c>
      <c r="H12" s="28">
        <v>46239</v>
      </c>
      <c r="I12" s="27" t="s">
        <v>73</v>
      </c>
      <c r="J12" s="29"/>
      <c r="K12" s="30"/>
      <c r="L12" s="31"/>
      <c r="M12" s="32"/>
    </row>
    <row r="13" spans="1:13" ht="33.6" customHeight="1">
      <c r="A13" s="27" t="s">
        <v>75</v>
      </c>
      <c r="B13" s="27" t="s">
        <v>352</v>
      </c>
      <c r="C13" s="27" t="s">
        <v>29</v>
      </c>
      <c r="D13" s="27" t="s">
        <v>29</v>
      </c>
      <c r="E13" s="27" t="s">
        <v>353</v>
      </c>
      <c r="F13" s="27" t="s">
        <v>354</v>
      </c>
      <c r="G13" s="60" t="s">
        <v>30</v>
      </c>
      <c r="H13" s="28">
        <v>46239</v>
      </c>
      <c r="I13" s="27" t="s">
        <v>73</v>
      </c>
      <c r="J13" s="29"/>
      <c r="K13" s="30"/>
      <c r="L13" s="31"/>
      <c r="M13" s="32"/>
    </row>
    <row r="14" spans="1:13" ht="33.6" customHeight="1">
      <c r="A14" s="27" t="s">
        <v>76</v>
      </c>
      <c r="B14" s="27" t="s">
        <v>355</v>
      </c>
      <c r="C14" s="27" t="s">
        <v>29</v>
      </c>
      <c r="D14" s="27" t="s">
        <v>29</v>
      </c>
      <c r="E14" s="27" t="s">
        <v>356</v>
      </c>
      <c r="F14" s="27" t="s">
        <v>354</v>
      </c>
      <c r="G14" s="60" t="s">
        <v>30</v>
      </c>
      <c r="H14" s="28">
        <v>46239</v>
      </c>
      <c r="I14" s="27" t="s">
        <v>73</v>
      </c>
      <c r="J14" s="29"/>
      <c r="K14" s="30"/>
      <c r="L14" s="31"/>
      <c r="M14" s="32"/>
    </row>
    <row r="15" spans="1:13" ht="33.6" customHeight="1">
      <c r="A15" s="27" t="s">
        <v>77</v>
      </c>
      <c r="B15" s="27" t="s">
        <v>357</v>
      </c>
      <c r="C15" s="27" t="s">
        <v>29</v>
      </c>
      <c r="D15" s="27" t="s">
        <v>29</v>
      </c>
      <c r="E15" s="27" t="s">
        <v>358</v>
      </c>
      <c r="F15" s="27" t="s">
        <v>354</v>
      </c>
      <c r="G15" s="60" t="s">
        <v>30</v>
      </c>
      <c r="H15" s="28">
        <v>46239</v>
      </c>
      <c r="I15" s="27" t="s">
        <v>73</v>
      </c>
      <c r="J15" s="29"/>
      <c r="K15" s="30"/>
      <c r="L15" s="31"/>
      <c r="M15" s="32"/>
    </row>
    <row r="16" spans="1:13" ht="33.6" customHeight="1">
      <c r="A16" s="27" t="s">
        <v>78</v>
      </c>
      <c r="B16" s="27" t="s">
        <v>359</v>
      </c>
      <c r="C16" s="27" t="s">
        <v>29</v>
      </c>
      <c r="D16" s="27" t="s">
        <v>29</v>
      </c>
      <c r="E16" s="27" t="s">
        <v>360</v>
      </c>
      <c r="F16" s="27" t="s">
        <v>354</v>
      </c>
      <c r="G16" s="60" t="s">
        <v>30</v>
      </c>
      <c r="H16" s="28">
        <v>46239</v>
      </c>
      <c r="I16" s="27" t="s">
        <v>73</v>
      </c>
      <c r="J16" s="29"/>
      <c r="K16" s="30"/>
      <c r="L16" s="31"/>
      <c r="M16" s="32"/>
    </row>
    <row r="17" spans="1:13" ht="33.6" customHeight="1">
      <c r="A17" s="27" t="s">
        <v>79</v>
      </c>
      <c r="B17" s="27" t="s">
        <v>361</v>
      </c>
      <c r="C17" s="27" t="s">
        <v>29</v>
      </c>
      <c r="D17" s="27" t="s">
        <v>29</v>
      </c>
      <c r="E17" s="27" t="s">
        <v>362</v>
      </c>
      <c r="F17" s="27" t="s">
        <v>142</v>
      </c>
      <c r="G17" s="60" t="s">
        <v>30</v>
      </c>
      <c r="H17" s="28">
        <v>46239</v>
      </c>
      <c r="I17" s="27" t="s">
        <v>73</v>
      </c>
      <c r="J17" s="29"/>
      <c r="K17" s="30"/>
      <c r="L17" s="31"/>
      <c r="M17" s="32"/>
    </row>
    <row r="18" spans="1:13" ht="33.6" customHeight="1">
      <c r="A18" s="27" t="s">
        <v>80</v>
      </c>
      <c r="B18" s="27" t="s">
        <v>363</v>
      </c>
      <c r="C18" s="27" t="s">
        <v>29</v>
      </c>
      <c r="D18" s="27" t="s">
        <v>364</v>
      </c>
      <c r="E18" s="27" t="s">
        <v>365</v>
      </c>
      <c r="F18" s="27" t="s">
        <v>366</v>
      </c>
      <c r="G18" s="60" t="s">
        <v>30</v>
      </c>
      <c r="H18" s="28">
        <v>46239</v>
      </c>
      <c r="I18" s="27" t="s">
        <v>73</v>
      </c>
      <c r="J18" s="29"/>
      <c r="K18" s="30"/>
      <c r="L18" s="31"/>
      <c r="M18" s="32"/>
    </row>
    <row r="19" spans="1:13" ht="33.6" customHeight="1">
      <c r="A19" s="27" t="s">
        <v>81</v>
      </c>
      <c r="B19" s="27" t="s">
        <v>367</v>
      </c>
      <c r="C19" s="27" t="s">
        <v>29</v>
      </c>
      <c r="D19" s="27" t="s">
        <v>29</v>
      </c>
      <c r="E19" s="27" t="s">
        <v>368</v>
      </c>
      <c r="F19" s="27" t="s">
        <v>369</v>
      </c>
      <c r="G19" s="60" t="s">
        <v>30</v>
      </c>
      <c r="H19" s="28">
        <v>46239</v>
      </c>
      <c r="I19" s="27" t="s">
        <v>73</v>
      </c>
      <c r="J19" s="29"/>
      <c r="K19" s="30"/>
      <c r="L19" s="31"/>
      <c r="M19" s="32"/>
    </row>
    <row r="20" spans="1:13" ht="33.6" customHeight="1">
      <c r="A20" s="27" t="s">
        <v>82</v>
      </c>
      <c r="B20" s="27" t="s">
        <v>370</v>
      </c>
      <c r="C20" s="27" t="s">
        <v>29</v>
      </c>
      <c r="D20" s="27" t="s">
        <v>29</v>
      </c>
      <c r="E20" s="27" t="s">
        <v>371</v>
      </c>
      <c r="F20" s="27" t="s">
        <v>150</v>
      </c>
      <c r="G20" s="60" t="s">
        <v>30</v>
      </c>
      <c r="H20" s="28">
        <v>46239</v>
      </c>
      <c r="I20" s="27" t="s">
        <v>73</v>
      </c>
      <c r="J20" s="29"/>
      <c r="K20" s="30"/>
      <c r="L20" s="31"/>
      <c r="M20" s="32"/>
    </row>
    <row r="21" spans="1:13" ht="33.6" customHeight="1">
      <c r="A21" s="27" t="s">
        <v>372</v>
      </c>
      <c r="B21" s="27" t="s">
        <v>373</v>
      </c>
      <c r="C21" s="27" t="s">
        <v>29</v>
      </c>
      <c r="D21" s="27" t="s">
        <v>29</v>
      </c>
      <c r="E21" s="27" t="s">
        <v>374</v>
      </c>
      <c r="F21" s="27" t="s">
        <v>375</v>
      </c>
      <c r="G21" s="60" t="s">
        <v>30</v>
      </c>
      <c r="H21" s="28">
        <v>46239</v>
      </c>
      <c r="I21" s="27" t="s">
        <v>73</v>
      </c>
      <c r="J21" s="29"/>
      <c r="K21" s="30"/>
      <c r="L21" s="31"/>
      <c r="M21" s="32"/>
    </row>
    <row r="22" spans="1:13" ht="33.6" customHeight="1">
      <c r="A22" s="27" t="s">
        <v>376</v>
      </c>
      <c r="B22" s="27" t="s">
        <v>377</v>
      </c>
      <c r="C22" s="27" t="s">
        <v>29</v>
      </c>
      <c r="D22" s="27" t="s">
        <v>378</v>
      </c>
      <c r="E22" s="27" t="s">
        <v>379</v>
      </c>
      <c r="F22" s="27" t="s">
        <v>380</v>
      </c>
      <c r="G22" s="60" t="s">
        <v>30</v>
      </c>
      <c r="H22" s="28">
        <v>46239</v>
      </c>
      <c r="I22" s="27" t="s">
        <v>73</v>
      </c>
      <c r="J22" s="29"/>
      <c r="K22" s="30"/>
      <c r="L22" s="31"/>
      <c r="M22" s="32"/>
    </row>
    <row r="23" spans="1:13" ht="33.6" customHeight="1">
      <c r="A23" s="27" t="s">
        <v>381</v>
      </c>
      <c r="B23" s="27" t="s">
        <v>382</v>
      </c>
      <c r="C23" s="27" t="s">
        <v>29</v>
      </c>
      <c r="D23" s="27" t="s">
        <v>383</v>
      </c>
      <c r="E23" s="27" t="s">
        <v>384</v>
      </c>
      <c r="F23" s="27" t="s">
        <v>385</v>
      </c>
      <c r="G23" s="60" t="s">
        <v>30</v>
      </c>
      <c r="H23" s="28">
        <v>46239</v>
      </c>
      <c r="I23" s="27" t="s">
        <v>73</v>
      </c>
      <c r="J23" s="29"/>
      <c r="K23" s="30"/>
      <c r="L23" s="31"/>
      <c r="M23" s="32"/>
    </row>
    <row r="24" spans="1:13" ht="33.6" customHeight="1">
      <c r="A24" s="27" t="s">
        <v>386</v>
      </c>
      <c r="B24" s="27" t="s">
        <v>387</v>
      </c>
      <c r="C24" s="27" t="s">
        <v>29</v>
      </c>
      <c r="D24" s="27" t="s">
        <v>388</v>
      </c>
      <c r="E24" s="27" t="s">
        <v>389</v>
      </c>
      <c r="F24" s="27" t="s">
        <v>390</v>
      </c>
      <c r="G24" s="60" t="s">
        <v>30</v>
      </c>
      <c r="H24" s="28">
        <v>46239</v>
      </c>
      <c r="I24" s="27" t="s">
        <v>73</v>
      </c>
      <c r="J24" s="29"/>
      <c r="K24" s="30"/>
      <c r="L24" s="31"/>
      <c r="M24" s="32"/>
    </row>
    <row r="25" spans="1:13" ht="33.6" customHeight="1">
      <c r="A25" s="27" t="s">
        <v>391</v>
      </c>
      <c r="B25" s="27" t="s">
        <v>392</v>
      </c>
      <c r="C25" s="27" t="s">
        <v>29</v>
      </c>
      <c r="D25" s="27" t="s">
        <v>393</v>
      </c>
      <c r="E25" s="27" t="s">
        <v>394</v>
      </c>
      <c r="F25" s="27" t="s">
        <v>395</v>
      </c>
      <c r="G25" s="60" t="s">
        <v>30</v>
      </c>
      <c r="H25" s="28">
        <v>46239</v>
      </c>
      <c r="I25" s="27" t="s">
        <v>73</v>
      </c>
      <c r="J25" s="29"/>
      <c r="K25" s="30"/>
      <c r="L25" s="31"/>
      <c r="M25" s="32"/>
    </row>
    <row r="26" spans="1:13" ht="33.6" customHeight="1">
      <c r="A26" s="27" t="s">
        <v>396</v>
      </c>
      <c r="B26" s="27" t="s">
        <v>397</v>
      </c>
      <c r="C26" s="27" t="s">
        <v>29</v>
      </c>
      <c r="D26" s="27" t="s">
        <v>398</v>
      </c>
      <c r="E26" s="27" t="s">
        <v>399</v>
      </c>
      <c r="F26" s="27" t="s">
        <v>400</v>
      </c>
      <c r="G26" s="60" t="s">
        <v>30</v>
      </c>
      <c r="H26" s="28">
        <v>46239</v>
      </c>
      <c r="I26" s="27" t="s">
        <v>73</v>
      </c>
      <c r="J26" s="29"/>
      <c r="K26" s="30"/>
      <c r="L26" s="31"/>
      <c r="M26" s="32"/>
    </row>
    <row r="27" spans="1:13" ht="33.6" customHeight="1">
      <c r="A27" s="27" t="s">
        <v>401</v>
      </c>
      <c r="B27" s="27" t="s">
        <v>402</v>
      </c>
      <c r="C27" s="27" t="s">
        <v>29</v>
      </c>
      <c r="D27" s="27" t="s">
        <v>403</v>
      </c>
      <c r="E27" s="27" t="s">
        <v>404</v>
      </c>
      <c r="F27" s="27" t="s">
        <v>196</v>
      </c>
      <c r="G27" s="60" t="s">
        <v>30</v>
      </c>
      <c r="H27" s="28">
        <v>46239</v>
      </c>
      <c r="I27" s="27" t="s">
        <v>73</v>
      </c>
      <c r="J27" s="29"/>
      <c r="K27" s="30"/>
      <c r="L27" s="31"/>
      <c r="M27" s="32"/>
    </row>
    <row r="28" spans="1:13" ht="33.6" customHeight="1">
      <c r="A28" s="27" t="s">
        <v>405</v>
      </c>
      <c r="B28" s="27" t="s">
        <v>406</v>
      </c>
      <c r="C28" s="27" t="s">
        <v>29</v>
      </c>
      <c r="D28" s="27" t="s">
        <v>29</v>
      </c>
      <c r="E28" s="27" t="s">
        <v>407</v>
      </c>
      <c r="F28" s="27" t="s">
        <v>408</v>
      </c>
      <c r="G28" s="60" t="s">
        <v>30</v>
      </c>
      <c r="H28" s="28">
        <v>46239</v>
      </c>
      <c r="I28" s="27" t="s">
        <v>73</v>
      </c>
      <c r="J28" s="29"/>
      <c r="K28" s="30"/>
      <c r="L28" s="31"/>
      <c r="M28" s="32"/>
    </row>
    <row r="29" spans="1:13" ht="33.6" customHeight="1">
      <c r="A29" s="27" t="s">
        <v>409</v>
      </c>
      <c r="B29" s="27" t="s">
        <v>410</v>
      </c>
      <c r="C29" s="27" t="s">
        <v>29</v>
      </c>
      <c r="D29" s="27" t="s">
        <v>411</v>
      </c>
      <c r="E29" s="27" t="s">
        <v>412</v>
      </c>
      <c r="F29" s="27" t="s">
        <v>413</v>
      </c>
      <c r="G29" s="60" t="s">
        <v>30</v>
      </c>
      <c r="H29" s="28">
        <v>46239</v>
      </c>
      <c r="I29" s="27" t="s">
        <v>73</v>
      </c>
      <c r="J29" s="29"/>
      <c r="K29" s="30"/>
      <c r="L29" s="31"/>
      <c r="M29" s="32"/>
    </row>
    <row r="30" spans="1:13" ht="50.4" customHeight="1">
      <c r="A30" s="27" t="s">
        <v>414</v>
      </c>
      <c r="B30" s="27" t="s">
        <v>415</v>
      </c>
      <c r="C30" s="27" t="s">
        <v>29</v>
      </c>
      <c r="D30" s="27" t="s">
        <v>416</v>
      </c>
      <c r="E30" s="27" t="s">
        <v>417</v>
      </c>
      <c r="F30" s="27" t="s">
        <v>418</v>
      </c>
      <c r="G30" s="60" t="s">
        <v>30</v>
      </c>
      <c r="H30" s="28">
        <v>46239</v>
      </c>
      <c r="I30" s="27" t="s">
        <v>73</v>
      </c>
      <c r="J30" s="29"/>
      <c r="K30" s="30"/>
      <c r="L30" s="31"/>
      <c r="M30" s="32"/>
    </row>
    <row r="31" spans="1:13" ht="16.8">
      <c r="A31" s="36" t="s">
        <v>578</v>
      </c>
      <c r="B31" s="37"/>
      <c r="C31" s="37"/>
      <c r="D31" s="37"/>
      <c r="E31" s="37"/>
      <c r="F31" s="37"/>
      <c r="G31" s="37"/>
      <c r="H31" s="37"/>
      <c r="I31" s="37"/>
      <c r="J31" s="38"/>
      <c r="K31" s="38"/>
      <c r="L31" s="38"/>
      <c r="M31" s="39"/>
    </row>
    <row r="32" spans="1:13" ht="33.6">
      <c r="A32" s="27" t="s">
        <v>83</v>
      </c>
      <c r="B32" s="27" t="s">
        <v>419</v>
      </c>
      <c r="C32" s="27" t="s">
        <v>420</v>
      </c>
      <c r="D32" s="27" t="s">
        <v>421</v>
      </c>
      <c r="E32" s="27" t="s">
        <v>422</v>
      </c>
      <c r="F32" s="27" t="s">
        <v>423</v>
      </c>
      <c r="G32" s="60" t="s">
        <v>30</v>
      </c>
      <c r="H32" s="28">
        <v>46239</v>
      </c>
      <c r="I32" s="27" t="s">
        <v>73</v>
      </c>
      <c r="J32" s="62"/>
      <c r="K32" s="27"/>
      <c r="L32" s="27"/>
      <c r="M32" s="33"/>
    </row>
    <row r="33" spans="1:13" ht="50.4" customHeight="1">
      <c r="A33" s="27" t="s">
        <v>84</v>
      </c>
      <c r="B33" s="27" t="s">
        <v>424</v>
      </c>
      <c r="C33" s="27" t="s">
        <v>425</v>
      </c>
      <c r="D33" s="27" t="s">
        <v>87</v>
      </c>
      <c r="E33" s="27" t="s">
        <v>426</v>
      </c>
      <c r="F33" s="27" t="s">
        <v>427</v>
      </c>
      <c r="G33" s="60" t="s">
        <v>30</v>
      </c>
      <c r="H33" s="28">
        <v>46239</v>
      </c>
      <c r="I33" s="27" t="s">
        <v>73</v>
      </c>
      <c r="J33" s="62"/>
      <c r="K33" s="27"/>
      <c r="L33" s="27"/>
      <c r="M33" s="33"/>
    </row>
    <row r="34" spans="1:13" ht="33.6" customHeight="1">
      <c r="A34" s="27" t="s">
        <v>85</v>
      </c>
      <c r="B34" s="27" t="s">
        <v>428</v>
      </c>
      <c r="C34" s="27" t="s">
        <v>429</v>
      </c>
      <c r="D34" s="27" t="s">
        <v>430</v>
      </c>
      <c r="E34" s="27" t="s">
        <v>431</v>
      </c>
      <c r="F34" s="27" t="s">
        <v>432</v>
      </c>
      <c r="G34" s="60" t="s">
        <v>30</v>
      </c>
      <c r="H34" s="28">
        <v>46239</v>
      </c>
      <c r="I34" s="27" t="s">
        <v>73</v>
      </c>
      <c r="J34" s="62"/>
      <c r="K34" s="27"/>
      <c r="L34" s="27"/>
      <c r="M34" s="33"/>
    </row>
    <row r="35" spans="1:13" ht="33.6" customHeight="1">
      <c r="A35" s="27" t="s">
        <v>86</v>
      </c>
      <c r="B35" s="27" t="s">
        <v>433</v>
      </c>
      <c r="C35" s="27" t="s">
        <v>434</v>
      </c>
      <c r="D35" s="27" t="s">
        <v>435</v>
      </c>
      <c r="E35" s="27" t="s">
        <v>436</v>
      </c>
      <c r="F35" s="27" t="s">
        <v>437</v>
      </c>
      <c r="G35" s="60" t="s">
        <v>30</v>
      </c>
      <c r="H35" s="28">
        <v>46239</v>
      </c>
      <c r="I35" s="27" t="s">
        <v>73</v>
      </c>
      <c r="J35" s="62"/>
      <c r="K35" s="27"/>
      <c r="L35" s="27"/>
      <c r="M35" s="33"/>
    </row>
    <row r="36" spans="1:13" ht="50.4" customHeight="1">
      <c r="A36" s="27" t="s">
        <v>88</v>
      </c>
      <c r="B36" s="27" t="s">
        <v>438</v>
      </c>
      <c r="C36" s="27" t="s">
        <v>439</v>
      </c>
      <c r="D36" s="27" t="s">
        <v>440</v>
      </c>
      <c r="E36" s="27" t="s">
        <v>441</v>
      </c>
      <c r="F36" s="27" t="s">
        <v>442</v>
      </c>
      <c r="G36" s="60" t="s">
        <v>30</v>
      </c>
      <c r="H36" s="28">
        <v>46239</v>
      </c>
      <c r="I36" s="27" t="s">
        <v>73</v>
      </c>
      <c r="J36" s="62"/>
      <c r="K36" s="27"/>
      <c r="L36" s="27"/>
      <c r="M36" s="33"/>
    </row>
    <row r="37" spans="1:13" ht="33.6" customHeight="1">
      <c r="A37" s="27" t="s">
        <v>89</v>
      </c>
      <c r="B37" s="27" t="s">
        <v>443</v>
      </c>
      <c r="C37" s="27" t="s">
        <v>444</v>
      </c>
      <c r="D37" s="27" t="s">
        <v>445</v>
      </c>
      <c r="E37" s="27" t="s">
        <v>446</v>
      </c>
      <c r="F37" s="27" t="s">
        <v>447</v>
      </c>
      <c r="G37" s="60" t="s">
        <v>30</v>
      </c>
      <c r="H37" s="28">
        <v>46239</v>
      </c>
      <c r="I37" s="27" t="s">
        <v>73</v>
      </c>
      <c r="J37" s="62"/>
      <c r="K37" s="27"/>
      <c r="L37" s="27"/>
      <c r="M37" s="34"/>
    </row>
    <row r="38" spans="1:13" ht="50.4" customHeight="1">
      <c r="A38" s="27" t="s">
        <v>90</v>
      </c>
      <c r="B38" s="27" t="s">
        <v>448</v>
      </c>
      <c r="C38" s="27" t="s">
        <v>449</v>
      </c>
      <c r="D38" s="27" t="s">
        <v>450</v>
      </c>
      <c r="E38" s="27" t="s">
        <v>451</v>
      </c>
      <c r="F38" s="27" t="s">
        <v>452</v>
      </c>
      <c r="G38" s="60" t="s">
        <v>30</v>
      </c>
      <c r="H38" s="28">
        <v>46239</v>
      </c>
      <c r="I38" s="27" t="s">
        <v>73</v>
      </c>
      <c r="J38" s="62"/>
      <c r="K38" s="27"/>
      <c r="L38" s="27"/>
      <c r="M38" s="34"/>
    </row>
    <row r="39" spans="1:13" ht="50.4" customHeight="1">
      <c r="A39" s="27" t="s">
        <v>91</v>
      </c>
      <c r="B39" s="27" t="s">
        <v>453</v>
      </c>
      <c r="C39" s="27" t="s">
        <v>454</v>
      </c>
      <c r="D39" s="27" t="s">
        <v>455</v>
      </c>
      <c r="E39" s="27" t="s">
        <v>456</v>
      </c>
      <c r="F39" s="27" t="s">
        <v>452</v>
      </c>
      <c r="G39" s="60" t="s">
        <v>30</v>
      </c>
      <c r="H39" s="28">
        <v>46239</v>
      </c>
      <c r="I39" s="27" t="s">
        <v>73</v>
      </c>
      <c r="J39" s="62"/>
      <c r="K39" s="27"/>
      <c r="L39" s="27"/>
      <c r="M39" s="34"/>
    </row>
    <row r="40" spans="1:13" ht="33.6" customHeight="1">
      <c r="A40" s="27" t="s">
        <v>92</v>
      </c>
      <c r="B40" s="27" t="s">
        <v>250</v>
      </c>
      <c r="C40" s="27" t="s">
        <v>457</v>
      </c>
      <c r="D40" s="27" t="s">
        <v>87</v>
      </c>
      <c r="E40" s="27" t="s">
        <v>458</v>
      </c>
      <c r="F40" s="27" t="s">
        <v>459</v>
      </c>
      <c r="G40" s="60" t="s">
        <v>30</v>
      </c>
      <c r="H40" s="28">
        <v>46239</v>
      </c>
      <c r="I40" s="27" t="s">
        <v>73</v>
      </c>
      <c r="J40" s="62"/>
      <c r="K40" s="27"/>
      <c r="L40" s="27"/>
      <c r="M40" s="34"/>
    </row>
    <row r="41" spans="1:13" ht="16.8">
      <c r="A41" s="27" t="s">
        <v>93</v>
      </c>
      <c r="B41" s="27" t="s">
        <v>460</v>
      </c>
      <c r="C41" s="27" t="s">
        <v>461</v>
      </c>
      <c r="D41" s="27" t="s">
        <v>462</v>
      </c>
      <c r="E41" s="27" t="s">
        <v>463</v>
      </c>
      <c r="F41" s="27" t="s">
        <v>464</v>
      </c>
      <c r="G41" s="60" t="s">
        <v>30</v>
      </c>
      <c r="H41" s="28">
        <v>46239</v>
      </c>
      <c r="I41" s="27" t="s">
        <v>73</v>
      </c>
      <c r="J41" s="62"/>
      <c r="K41" s="27"/>
      <c r="L41" s="27"/>
      <c r="M41" s="34"/>
    </row>
    <row r="42" spans="1:13" ht="33.6" customHeight="1">
      <c r="A42" s="27" t="s">
        <v>94</v>
      </c>
      <c r="B42" s="27" t="s">
        <v>465</v>
      </c>
      <c r="C42" s="27" t="s">
        <v>466</v>
      </c>
      <c r="D42" s="27" t="s">
        <v>467</v>
      </c>
      <c r="E42" s="27" t="s">
        <v>468</v>
      </c>
      <c r="F42" s="27" t="s">
        <v>469</v>
      </c>
      <c r="G42" s="60" t="s">
        <v>30</v>
      </c>
      <c r="H42" s="28">
        <v>46239</v>
      </c>
      <c r="I42" s="27" t="s">
        <v>73</v>
      </c>
      <c r="J42" s="62"/>
      <c r="K42" s="27"/>
      <c r="L42" s="27"/>
      <c r="M42" s="34"/>
    </row>
    <row r="43" spans="1:13" ht="16.8">
      <c r="A43" s="27" t="s">
        <v>95</v>
      </c>
      <c r="B43" s="27" t="s">
        <v>470</v>
      </c>
      <c r="C43" s="27" t="s">
        <v>471</v>
      </c>
      <c r="D43" s="27" t="s">
        <v>472</v>
      </c>
      <c r="E43" s="27" t="s">
        <v>473</v>
      </c>
      <c r="F43" s="27" t="s">
        <v>474</v>
      </c>
      <c r="G43" s="60" t="s">
        <v>30</v>
      </c>
      <c r="H43" s="28">
        <v>46239</v>
      </c>
      <c r="I43" s="27" t="s">
        <v>73</v>
      </c>
      <c r="J43" s="62"/>
      <c r="K43" s="27"/>
      <c r="L43" s="27"/>
      <c r="M43" s="34"/>
    </row>
    <row r="44" spans="1:13" ht="33.6" customHeight="1">
      <c r="A44" s="27" t="s">
        <v>96</v>
      </c>
      <c r="B44" s="27" t="s">
        <v>475</v>
      </c>
      <c r="C44" s="27" t="s">
        <v>476</v>
      </c>
      <c r="D44" s="27" t="s">
        <v>477</v>
      </c>
      <c r="E44" s="27" t="s">
        <v>478</v>
      </c>
      <c r="F44" s="27" t="s">
        <v>327</v>
      </c>
      <c r="G44" s="60" t="s">
        <v>30</v>
      </c>
      <c r="H44" s="28">
        <v>46239</v>
      </c>
      <c r="I44" s="27" t="s">
        <v>73</v>
      </c>
      <c r="J44" s="62"/>
      <c r="K44" s="27"/>
      <c r="L44" s="27"/>
    </row>
    <row r="45" spans="1:13" ht="50.4" customHeight="1">
      <c r="A45" s="27" t="s">
        <v>97</v>
      </c>
      <c r="B45" s="27" t="s">
        <v>479</v>
      </c>
      <c r="C45" s="27" t="s">
        <v>480</v>
      </c>
      <c r="D45" s="27" t="s">
        <v>481</v>
      </c>
      <c r="E45" s="27" t="s">
        <v>482</v>
      </c>
      <c r="F45" s="27" t="s">
        <v>483</v>
      </c>
      <c r="G45" s="60" t="s">
        <v>30</v>
      </c>
      <c r="H45" s="28">
        <v>46239</v>
      </c>
      <c r="I45" s="27" t="s">
        <v>73</v>
      </c>
      <c r="J45" s="62"/>
      <c r="K45" s="27"/>
      <c r="L45" s="27"/>
    </row>
    <row r="46" spans="1:13" ht="33.6" customHeight="1">
      <c r="A46" s="27" t="s">
        <v>98</v>
      </c>
      <c r="B46" s="27" t="s">
        <v>484</v>
      </c>
      <c r="C46" s="27" t="s">
        <v>485</v>
      </c>
      <c r="D46" s="27" t="s">
        <v>486</v>
      </c>
      <c r="E46" s="27" t="s">
        <v>487</v>
      </c>
      <c r="F46" s="27" t="s">
        <v>488</v>
      </c>
      <c r="G46" s="60" t="s">
        <v>30</v>
      </c>
      <c r="H46" s="28">
        <v>46239</v>
      </c>
      <c r="I46" s="27" t="s">
        <v>73</v>
      </c>
      <c r="J46" s="62"/>
      <c r="K46" s="27"/>
      <c r="L46" s="27"/>
    </row>
    <row r="47" spans="1:13" ht="50.4" customHeight="1">
      <c r="A47" s="27" t="s">
        <v>99</v>
      </c>
      <c r="B47" s="27" t="s">
        <v>489</v>
      </c>
      <c r="C47" s="27" t="s">
        <v>490</v>
      </c>
      <c r="D47" s="27" t="s">
        <v>491</v>
      </c>
      <c r="E47" s="27" t="s">
        <v>492</v>
      </c>
      <c r="F47" s="27" t="s">
        <v>493</v>
      </c>
      <c r="G47" s="60" t="s">
        <v>30</v>
      </c>
      <c r="H47" s="28">
        <v>46239</v>
      </c>
      <c r="I47" s="27" t="s">
        <v>73</v>
      </c>
      <c r="J47" s="62"/>
      <c r="K47" s="27"/>
      <c r="L47" s="27"/>
    </row>
    <row r="48" spans="1:13" ht="16.8">
      <c r="A48" s="27" t="s">
        <v>100</v>
      </c>
      <c r="B48" s="27" t="s">
        <v>494</v>
      </c>
      <c r="C48" s="27" t="s">
        <v>495</v>
      </c>
      <c r="D48" s="27" t="s">
        <v>496</v>
      </c>
      <c r="E48" s="27" t="s">
        <v>497</v>
      </c>
      <c r="F48" s="27" t="s">
        <v>498</v>
      </c>
      <c r="G48" s="60" t="s">
        <v>30</v>
      </c>
      <c r="H48" s="28">
        <v>46239</v>
      </c>
      <c r="I48" s="27" t="s">
        <v>73</v>
      </c>
      <c r="J48" s="62"/>
      <c r="K48" s="27"/>
      <c r="L48" s="27"/>
    </row>
    <row r="49" spans="1:12" ht="16.8">
      <c r="A49" s="27" t="s">
        <v>101</v>
      </c>
      <c r="B49" s="27" t="s">
        <v>499</v>
      </c>
      <c r="C49" s="27" t="s">
        <v>500</v>
      </c>
      <c r="D49" s="27" t="s">
        <v>501</v>
      </c>
      <c r="E49" s="27" t="s">
        <v>502</v>
      </c>
      <c r="F49" s="27" t="s">
        <v>503</v>
      </c>
      <c r="G49" s="60" t="s">
        <v>30</v>
      </c>
      <c r="H49" s="28">
        <v>46239</v>
      </c>
      <c r="I49" s="27" t="s">
        <v>73</v>
      </c>
      <c r="J49" s="62"/>
      <c r="K49" s="27"/>
      <c r="L49" s="27"/>
    </row>
    <row r="50" spans="1:12" ht="50.4" customHeight="1">
      <c r="A50" s="27" t="s">
        <v>102</v>
      </c>
      <c r="B50" s="27" t="s">
        <v>504</v>
      </c>
      <c r="C50" s="27" t="s">
        <v>505</v>
      </c>
      <c r="D50" s="27" t="s">
        <v>506</v>
      </c>
      <c r="E50" s="27" t="s">
        <v>507</v>
      </c>
      <c r="F50" s="27" t="s">
        <v>508</v>
      </c>
      <c r="G50" s="60" t="s">
        <v>30</v>
      </c>
      <c r="H50" s="28">
        <v>46239</v>
      </c>
      <c r="I50" s="27" t="s">
        <v>73</v>
      </c>
      <c r="J50" s="62"/>
      <c r="K50" s="27"/>
      <c r="L50" s="27"/>
    </row>
    <row r="51" spans="1:12" ht="50.4" customHeight="1">
      <c r="A51" s="27" t="s">
        <v>103</v>
      </c>
      <c r="B51" s="27" t="s">
        <v>509</v>
      </c>
      <c r="C51" s="27" t="s">
        <v>510</v>
      </c>
      <c r="D51" s="27" t="s">
        <v>511</v>
      </c>
      <c r="E51" s="27" t="s">
        <v>512</v>
      </c>
      <c r="F51" s="27" t="s">
        <v>508</v>
      </c>
      <c r="G51" s="60" t="s">
        <v>30</v>
      </c>
      <c r="H51" s="28">
        <v>46239</v>
      </c>
      <c r="I51" s="27" t="s">
        <v>73</v>
      </c>
      <c r="J51" s="62"/>
      <c r="K51" s="27"/>
      <c r="L51" s="27"/>
    </row>
    <row r="52" spans="1:12" ht="16.8">
      <c r="A52" s="27" t="s">
        <v>513</v>
      </c>
      <c r="B52" s="27" t="s">
        <v>514</v>
      </c>
      <c r="C52" s="27" t="s">
        <v>515</v>
      </c>
      <c r="D52" s="27" t="s">
        <v>516</v>
      </c>
      <c r="E52" s="27" t="s">
        <v>517</v>
      </c>
      <c r="F52" s="27" t="s">
        <v>508</v>
      </c>
      <c r="G52" s="60" t="s">
        <v>30</v>
      </c>
      <c r="H52" s="28">
        <v>46239</v>
      </c>
      <c r="I52" s="27" t="s">
        <v>73</v>
      </c>
    </row>
    <row r="53" spans="1:12" ht="16.8">
      <c r="A53" s="27" t="s">
        <v>518</v>
      </c>
      <c r="B53" s="27" t="s">
        <v>519</v>
      </c>
      <c r="C53" s="27" t="s">
        <v>520</v>
      </c>
      <c r="D53" s="27" t="s">
        <v>521</v>
      </c>
      <c r="E53" s="27" t="s">
        <v>522</v>
      </c>
      <c r="F53" s="27" t="s">
        <v>508</v>
      </c>
      <c r="G53" s="60" t="s">
        <v>30</v>
      </c>
      <c r="H53" s="28">
        <v>46239</v>
      </c>
      <c r="I53" s="27" t="s">
        <v>73</v>
      </c>
    </row>
    <row r="54" spans="1:12" ht="33.6">
      <c r="A54" s="27" t="s">
        <v>523</v>
      </c>
      <c r="B54" s="27" t="s">
        <v>524</v>
      </c>
      <c r="C54" s="27" t="s">
        <v>525</v>
      </c>
      <c r="D54" s="27" t="s">
        <v>526</v>
      </c>
      <c r="E54" s="27" t="s">
        <v>527</v>
      </c>
      <c r="F54" s="27" t="s">
        <v>528</v>
      </c>
      <c r="G54" s="60" t="s">
        <v>30</v>
      </c>
      <c r="H54" s="28">
        <v>46239</v>
      </c>
      <c r="I54" s="27" t="s">
        <v>73</v>
      </c>
    </row>
    <row r="55" spans="1:12" ht="16.8">
      <c r="A55" s="27" t="s">
        <v>529</v>
      </c>
      <c r="B55" s="27" t="s">
        <v>530</v>
      </c>
      <c r="C55" s="27" t="s">
        <v>531</v>
      </c>
      <c r="D55" s="27" t="s">
        <v>532</v>
      </c>
      <c r="E55" s="27" t="s">
        <v>533</v>
      </c>
      <c r="F55" s="27" t="s">
        <v>534</v>
      </c>
      <c r="G55" s="60" t="s">
        <v>30</v>
      </c>
      <c r="H55" s="28">
        <v>46239</v>
      </c>
      <c r="I55" s="27" t="s">
        <v>73</v>
      </c>
    </row>
    <row r="56" spans="1:12" ht="16.8">
      <c r="A56" s="27" t="s">
        <v>535</v>
      </c>
      <c r="B56" s="27" t="s">
        <v>536</v>
      </c>
      <c r="C56" s="27" t="s">
        <v>537</v>
      </c>
      <c r="D56" s="27" t="s">
        <v>538</v>
      </c>
      <c r="E56" s="27" t="s">
        <v>271</v>
      </c>
      <c r="F56" s="27" t="s">
        <v>539</v>
      </c>
      <c r="G56" s="60" t="s">
        <v>30</v>
      </c>
      <c r="H56" s="28">
        <v>46239</v>
      </c>
      <c r="I56" s="27" t="s">
        <v>73</v>
      </c>
    </row>
    <row r="57" spans="1:12" ht="33.6">
      <c r="A57" s="27" t="s">
        <v>540</v>
      </c>
      <c r="B57" s="27" t="s">
        <v>541</v>
      </c>
      <c r="C57" s="27" t="s">
        <v>542</v>
      </c>
      <c r="D57" s="27" t="s">
        <v>416</v>
      </c>
      <c r="E57" s="27" t="s">
        <v>543</v>
      </c>
      <c r="F57" s="27" t="s">
        <v>267</v>
      </c>
      <c r="G57" s="60" t="s">
        <v>30</v>
      </c>
      <c r="H57" s="28">
        <v>46239</v>
      </c>
      <c r="I57" s="27" t="s">
        <v>73</v>
      </c>
    </row>
    <row r="58" spans="1:12" ht="16.8">
      <c r="A58" s="27" t="s">
        <v>544</v>
      </c>
      <c r="B58" s="27" t="s">
        <v>545</v>
      </c>
      <c r="C58" s="27" t="s">
        <v>546</v>
      </c>
      <c r="D58" s="27" t="s">
        <v>29</v>
      </c>
      <c r="E58" s="27" t="s">
        <v>547</v>
      </c>
      <c r="F58" s="27" t="s">
        <v>548</v>
      </c>
      <c r="G58" s="60" t="s">
        <v>30</v>
      </c>
      <c r="H58" s="28">
        <v>46239</v>
      </c>
      <c r="I58" s="27" t="s">
        <v>73</v>
      </c>
    </row>
    <row r="59" spans="1:12" ht="33.6">
      <c r="A59" s="27" t="s">
        <v>549</v>
      </c>
      <c r="B59" s="27" t="s">
        <v>550</v>
      </c>
      <c r="C59" s="27" t="s">
        <v>551</v>
      </c>
      <c r="D59" s="27" t="s">
        <v>552</v>
      </c>
      <c r="E59" s="27" t="s">
        <v>553</v>
      </c>
      <c r="F59" s="27" t="s">
        <v>333</v>
      </c>
      <c r="G59" s="60" t="s">
        <v>30</v>
      </c>
      <c r="H59" s="28">
        <v>46239</v>
      </c>
      <c r="I59" s="27" t="s">
        <v>73</v>
      </c>
    </row>
    <row r="60" spans="1:12" ht="33.6">
      <c r="A60" s="27" t="s">
        <v>554</v>
      </c>
      <c r="B60" s="27" t="s">
        <v>555</v>
      </c>
      <c r="C60" s="27" t="s">
        <v>556</v>
      </c>
      <c r="D60" s="27" t="s">
        <v>472</v>
      </c>
      <c r="E60" s="27" t="s">
        <v>557</v>
      </c>
      <c r="F60" s="27" t="s">
        <v>558</v>
      </c>
      <c r="G60" s="60" t="s">
        <v>30</v>
      </c>
      <c r="H60" s="28">
        <v>46239</v>
      </c>
      <c r="I60" s="27" t="s">
        <v>73</v>
      </c>
    </row>
    <row r="61" spans="1:12" ht="16.8">
      <c r="A61" s="27" t="s">
        <v>559</v>
      </c>
      <c r="B61" s="27" t="s">
        <v>560</v>
      </c>
      <c r="C61" s="27" t="s">
        <v>561</v>
      </c>
      <c r="D61" s="27" t="s">
        <v>562</v>
      </c>
      <c r="E61" s="27" t="s">
        <v>563</v>
      </c>
      <c r="F61" s="27" t="s">
        <v>564</v>
      </c>
      <c r="G61" s="60" t="s">
        <v>30</v>
      </c>
      <c r="H61" s="28">
        <v>46239</v>
      </c>
      <c r="I61" s="27" t="s">
        <v>73</v>
      </c>
    </row>
  </sheetData>
  <mergeCells count="16">
    <mergeCell ref="B1:F1"/>
    <mergeCell ref="B2:F2"/>
    <mergeCell ref="A7:A9"/>
    <mergeCell ref="B7:B9"/>
    <mergeCell ref="C7:C9"/>
    <mergeCell ref="D7:D9"/>
    <mergeCell ref="E7:E9"/>
    <mergeCell ref="F7:F9"/>
    <mergeCell ref="A6:F6"/>
    <mergeCell ref="A31:M31"/>
    <mergeCell ref="G7:I7"/>
    <mergeCell ref="J7:L7"/>
    <mergeCell ref="M7:M9"/>
    <mergeCell ref="G8:I8"/>
    <mergeCell ref="J8:L8"/>
    <mergeCell ref="A10:M10"/>
  </mergeCells>
  <dataValidations count="1">
    <dataValidation type="list" operator="equal" allowBlank="1" showErrorMessage="1" promptTitle="dfdf" sqref="J11:J30" xr:uid="{57E9B16F-F1BE-42B6-B931-D210079DC66A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Trường hợp kiểm thử</vt:lpstr>
      <vt:lpstr>Quản lý xuất hàng</vt:lpstr>
      <vt:lpstr>Quản lý tồn kho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Ti Huynh</dc:creator>
  <cp:lastModifiedBy>Ngoc Ti Huynh</cp:lastModifiedBy>
  <dcterms:created xsi:type="dcterms:W3CDTF">2026-05-06T01:03:17Z</dcterms:created>
  <dcterms:modified xsi:type="dcterms:W3CDTF">2026-05-08T14:08:33Z</dcterms:modified>
</cp:coreProperties>
</file>