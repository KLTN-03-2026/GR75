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KLTN_TL\Test_Warehouse\"/>
    </mc:Choice>
  </mc:AlternateContent>
  <xr:revisionPtr revIDLastSave="0" documentId="13_ncr:1_{CEC1594A-CA24-4439-92DD-9E8AD48D4495}" xr6:coauthVersionLast="47" xr6:coauthVersionMax="47" xr10:uidLastSave="{00000000-0000-0000-0000-000000000000}"/>
  <bookViews>
    <workbookView xWindow="-108" yWindow="-108" windowWidth="23256" windowHeight="12456" activeTab="2" xr2:uid="{93651DB8-118E-4F99-A74C-D08FA9E98ACD}"/>
  </bookViews>
  <sheets>
    <sheet name="Trường hợp kiểm thử" sheetId="1" r:id="rId1"/>
    <sheet name="Quản lý kiểm kê kho" sheetId="3" r:id="rId2"/>
    <sheet name="Quản lý hủy hàng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3" l="1"/>
  <c r="D5" i="3"/>
  <c r="E4" i="3"/>
  <c r="D4" i="3"/>
  <c r="E5" i="2"/>
  <c r="D5" i="2"/>
  <c r="E4" i="2"/>
  <c r="D4" i="2"/>
  <c r="D7" i="1"/>
</calcChain>
</file>

<file path=xl/sharedStrings.xml><?xml version="1.0" encoding="utf-8"?>
<sst xmlns="http://schemas.openxmlformats.org/spreadsheetml/2006/main" count="1457" uniqueCount="735">
  <si>
    <t>TEST CASE SYSTEM SPRINT 3</t>
  </si>
  <si>
    <t>Tên dự án</t>
  </si>
  <si>
    <t>HỆ THỐNG QUẢN LÝ TỒN KHO VÀ TÍCH HỢP AI DỰ ĐOÁN NHẬP HÀNG TƯƠNG LAI</t>
  </si>
  <si>
    <t>STT</t>
  </si>
  <si>
    <t>Chức năng</t>
  </si>
  <si>
    <t>Sheet Name</t>
  </si>
  <si>
    <t>Số lượng test</t>
  </si>
  <si>
    <t>Mô tả</t>
  </si>
  <si>
    <t>TỔNG:</t>
  </si>
  <si>
    <t>Quản lý kiểm kê kho</t>
  </si>
  <si>
    <t>Quản lý hủy hàng</t>
  </si>
  <si>
    <t>Project Name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</si>
  <si>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</si>
  <si>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</si>
  <si>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</si>
  <si>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</si>
  <si>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</si>
  <si>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</si>
  <si>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</si>
  <si>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</si>
  <si>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</si>
  <si>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</si>
  <si>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</si>
  <si>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</si>
  <si>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</si>
  <si>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</si>
  <si>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</si>
  <si>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</si>
  <si>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</si>
  <si>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</si>
  <si>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</si>
  <si>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</si>
  <si>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Passed</t>
  </si>
  <si>
    <t>-</t>
  </si>
  <si>
    <t>Quản lý kiểm kê khho</t>
  </si>
  <si>
    <t>GUI_SHOW Trang quản lý kiểm kê kho</t>
  </si>
  <si>
    <t>FUNCTION_SHOW Trang quản lý kiểm kê kho</t>
  </si>
  <si>
    <t>GUI-KK01</t>
  </si>
  <si>
    <t>GUI-KK02</t>
  </si>
  <si>
    <t>GUI-KK03</t>
  </si>
  <si>
    <t>GUI-KK04</t>
  </si>
  <si>
    <t>GUI-KK05</t>
  </si>
  <si>
    <t>GUI-KK06</t>
  </si>
  <si>
    <t>GUI-KK07</t>
  </si>
  <si>
    <t>GUI-KK08</t>
  </si>
  <si>
    <t>GUI-KK09</t>
  </si>
  <si>
    <t>GUI-KK10</t>
  </si>
  <si>
    <t>GUI-KK11</t>
  </si>
  <si>
    <t>GUI-KK12</t>
  </si>
  <si>
    <t>FUNC-KK01</t>
  </si>
  <si>
    <t>FUNC-KK02</t>
  </si>
  <si>
    <t>FUNC-KK03</t>
  </si>
  <si>
    <t>FUNC-KK04</t>
  </si>
  <si>
    <t>FUNC-KK05</t>
  </si>
  <si>
    <t>FUNC-KK06</t>
  </si>
  <si>
    <t>FUNC-KK07</t>
  </si>
  <si>
    <t>FUNC-KK08</t>
  </si>
  <si>
    <t>FUNC-KK09</t>
  </si>
  <si>
    <t>FUNC-KK10</t>
  </si>
  <si>
    <t>FUNC-KK11</t>
  </si>
  <si>
    <t>FUNC-KK12</t>
  </si>
  <si>
    <t>Tìm kiếm đúng</t>
  </si>
  <si>
    <t>FUNC-KK13</t>
  </si>
  <si>
    <t>FUNC-KK14</t>
  </si>
  <si>
    <t>Lọc đúng</t>
  </si>
  <si>
    <t>FUNC-KK15</t>
  </si>
  <si>
    <t>FUNC-KK16</t>
  </si>
  <si>
    <t>FUNC-KK17</t>
  </si>
  <si>
    <t>FUNC-KK18</t>
  </si>
  <si>
    <t>Có dữ liệu phiếu</t>
  </si>
  <si>
    <t>FUNC-KK19</t>
  </si>
  <si>
    <t>Có phiếu kiểm kê</t>
  </si>
  <si>
    <t>FUNC-KK20</t>
  </si>
  <si>
    <t>FUNC-KK21</t>
  </si>
  <si>
    <t>Phân trang đúng</t>
  </si>
  <si>
    <t>FUNC-KK22</t>
  </si>
  <si>
    <t>GUI-HH01</t>
  </si>
  <si>
    <t>GUI-HH02</t>
  </si>
  <si>
    <t>GUI-HH03</t>
  </si>
  <si>
    <t>GUI-HH04</t>
  </si>
  <si>
    <t>GUI-HH05</t>
  </si>
  <si>
    <t>GUI-HH06</t>
  </si>
  <si>
    <t>GUI-HH07</t>
  </si>
  <si>
    <t>GUI-HH08</t>
  </si>
  <si>
    <t>GUI-HH09</t>
  </si>
  <si>
    <t>GUI-HH10</t>
  </si>
  <si>
    <t>FUNC-HH01</t>
  </si>
  <si>
    <t>Tạo phiếu hủy hàng thành công</t>
  </si>
  <si>
    <t>FUNC-HH02</t>
  </si>
  <si>
    <t>FUNC-HH03</t>
  </si>
  <si>
    <t>FUNC-HH04</t>
  </si>
  <si>
    <t>FUNC-HH05</t>
  </si>
  <si>
    <t>FUNC-HH06</t>
  </si>
  <si>
    <t>FUNC-HH07</t>
  </si>
  <si>
    <t>FUNC-HH08</t>
  </si>
  <si>
    <t>FUNC-HH09</t>
  </si>
  <si>
    <t>FUNC-HH10</t>
  </si>
  <si>
    <t>FUNC-HH11</t>
  </si>
  <si>
    <t>FUNC-HH12</t>
  </si>
  <si>
    <t>FUNC-HH13</t>
  </si>
  <si>
    <t>FUNC-HH14</t>
  </si>
  <si>
    <t>FUNC-HH15</t>
  </si>
  <si>
    <t>FUNC-HH16</t>
  </si>
  <si>
    <t>FUNC-HH17</t>
  </si>
  <si>
    <t>FUNC-HH18</t>
  </si>
  <si>
    <t>FUNC-HH19</t>
  </si>
  <si>
    <t>FUNC-HH20</t>
  </si>
  <si>
    <t>Kiệt</t>
  </si>
  <si>
    <t>[Danh sách kiểm kê] Tiêu đề trang</t>
  </si>
  <si>
    <t>Label "Stock Count Audits": visible, color slate-900</t>
  </si>
  <si>
    <t>Label visible</t>
  </si>
  <si>
    <t>[Danh sách kiểm kê] Mô tả trang</t>
  </si>
  <si>
    <t>Description "Manage and track inventory cycle counts.": visible, color slate-500</t>
  </si>
  <si>
    <t>Description visible</t>
  </si>
  <si>
    <t>[Danh sách kiểm kê] Nút "Create New Ticket"</t>
  </si>
  <si>
    <t>User có quyền stock_counts:create</t>
  </si>
  <si>
    <t>Button "Create New Ticket": color blue-600, Status: enable, visible</t>
  </si>
  <si>
    <t>Button visible, enable</t>
  </si>
  <si>
    <t>[Danh sách kiểm kê] Nút "Create New Ticket" ẩn</t>
  </si>
  <si>
    <t>User không có quyền create</t>
  </si>
  <si>
    <t>Button "Create New Ticket" không hiển thị</t>
  </si>
  <si>
    <t>Button không visible</t>
  </si>
  <si>
    <t>[Danh sách kiểm kê] KPI Card – Total Audits</t>
  </si>
  <si>
    <t>KPI Card "Total Audits": icon fact_check, color slate, số liệu visible</t>
  </si>
  <si>
    <t>Card visible</t>
  </si>
  <si>
    <t>[Danh sách kiểm kê] KPI Card – In Progress</t>
  </si>
  <si>
    <t>KPI Card "In Progress": icon pending_actions, color blue, số liệu visible</t>
  </si>
  <si>
    <t>[Danh sách kiểm kê] KPI Card – Pending Approval</t>
  </si>
  <si>
    <t>KPI Card "Pending Approval": icon rule, color violet, số liệu visible</t>
  </si>
  <si>
    <t>[Danh sách kiểm kê] KPI Card – Approved</t>
  </si>
  <si>
    <t>KPI Card "Approved": icon verified, color emerald, số liệu visible</t>
  </si>
  <si>
    <t>[Danh sách kiểm kê] Textbox tìm kiếm</t>
  </si>
  <si>
    <t>Textbox: placeholder "Search ticket code…", Status: enable, icon Search bên trái</t>
  </si>
  <si>
    <t>Textbox visible, enable</t>
  </si>
  <si>
    <t>[Danh sách kiểm kê] Dropdown lọc Status</t>
  </si>
  <si>
    <t>Dropdown: option đầu "All Statuses", các option: Draft, Counting, Completed, Approved, Cancelled, Status: enable</t>
  </si>
  <si>
    <t>Dropdown visible, đủ options</t>
  </si>
  <si>
    <t>[Danh sách kiểm kê] Dropdown lọc Type</t>
  </si>
  <si>
    <t>Dropdown: option "All Types", "Periodic", "Ad Hoc", Status: enable</t>
  </si>
  <si>
    <t>Dropdown visible</t>
  </si>
  <si>
    <t>[Danh sách kiểm kê] Dropdown lọc Scope</t>
  </si>
  <si>
    <t>Dropdown: option "All Scopes", "Full Warehouse", "By Product", Status: enable</t>
  </si>
  <si>
    <t>GUI-KK13</t>
  </si>
  <si>
    <t>[Danh sách kiểm kê] Nút "Clear" filter</t>
  </si>
  <si>
    <t>Có filter đang active</t>
  </si>
  <si>
    <t>Button "Clear" (X icon): visible, color slate → rose khi hover</t>
  </si>
  <si>
    <t>Button visible khi có filter</t>
  </si>
  <si>
    <t>GUI-KK14</t>
  </si>
  <si>
    <t>[Danh sách kiểm kê] Header bảng cột</t>
  </si>
  <si>
    <t>Header: Ticket Code, Type/Scope, Created by, Progress, Status, Created – visible</t>
  </si>
  <si>
    <t>6 cột header visible</t>
  </si>
  <si>
    <t>GUI-KK15</t>
  </si>
  <si>
    <t>[Danh sách kiểm kê] Progress bar trong bảng</t>
  </si>
  <si>
    <t>Có ticket có details</t>
  </si>
  <si>
    <t>Progress bar hiển thị % hoàn thành, màu theo status: blue=COUNTING, emerald=APPROVED</t>
  </si>
  <si>
    <t>Progress bar visible</t>
  </si>
  <si>
    <t>GUI-KK16</t>
  </si>
  <si>
    <t>[Danh sách kiểm kê] Badge status – DRAFT</t>
  </si>
  <si>
    <t>Có ticket DRAFT</t>
  </si>
  <si>
    <t>Badge "Draft": color slate, visible</t>
  </si>
  <si>
    <t>Badge slate visible</t>
  </si>
  <si>
    <t>GUI-KK17</t>
  </si>
  <si>
    <t>[Danh sách kiểm kê] Badge status – COUNTING</t>
  </si>
  <si>
    <t>Có ticket COUNTING</t>
  </si>
  <si>
    <t>Badge "Counting": color blue, visible</t>
  </si>
  <si>
    <t>Badge blue visible</t>
  </si>
  <si>
    <t>GUI-KK18</t>
  </si>
  <si>
    <t>[Danh sách kiểm kê] Badge status – COMPLETED</t>
  </si>
  <si>
    <t>Có ticket COMPLETED</t>
  </si>
  <si>
    <t>Badge "Completed": color violet, visible</t>
  </si>
  <si>
    <t>Badge violet visible</t>
  </si>
  <si>
    <t>GUI-KK19</t>
  </si>
  <si>
    <t>[Danh sách kiểm kê] Badge status – APPROVED</t>
  </si>
  <si>
    <t>Có ticket APPROVED</t>
  </si>
  <si>
    <t>Badge "Approved": color emerald, visible</t>
  </si>
  <si>
    <t>Badge emerald visible</t>
  </si>
  <si>
    <t>GUI-KK20</t>
  </si>
  <si>
    <t>[Danh sách kiểm kê] Badge status – CANCELLED</t>
  </si>
  <si>
    <t>Có ticket CANCELLED</t>
  </si>
  <si>
    <t>Badge "Cancelled": color rose, dòng opacity-55, visible</t>
  </si>
  <si>
    <t>Badge rose visible</t>
  </si>
  <si>
    <t>GUI-KK21</t>
  </si>
  <si>
    <t>[Danh sách kiểm kê] Phân trang</t>
  </si>
  <si>
    <t>Có &gt; 10 ticket</t>
  </si>
  <si>
    <t>Nút Previous, Next, số trang visible; nút prev disabled ở trang 1</t>
  </si>
  <si>
    <t>Phân trang visible</t>
  </si>
  <si>
    <t>GUI-KK22</t>
  </si>
  <si>
    <t>[Tạo phiếu kiểm kê] Sheet tiêu đề</t>
  </si>
  <si>
    <t>Click "Create New Ticket"</t>
  </si>
  <si>
    <t>Sheet title "Create New Audit Ticket": visible; description visible</t>
  </si>
  <si>
    <t>Sheet visible</t>
  </si>
  <si>
    <t>GUI-KK23</t>
  </si>
  <si>
    <t>[Tạo phiếu kiểm kê] Button Audit Type – Periodic</t>
  </si>
  <si>
    <t>Sheet mở</t>
  </si>
  <si>
    <t>Button "Periodic": icon calendar_month, Status: enable, selected khi click</t>
  </si>
  <si>
    <t>Button visible</t>
  </si>
  <si>
    <t>GUI-KK24</t>
  </si>
  <si>
    <t>[Tạo phiếu kiểm kê] Button Audit Type – Ad Hoc</t>
  </si>
  <si>
    <t>Button "Ad Hoc": icon bolt, Status: enable</t>
  </si>
  <si>
    <t>GUI-KK25</t>
  </si>
  <si>
    <t>[Tạo phiếu kiểm kê] Button Scope – Full Warehouse</t>
  </si>
  <si>
    <t>Button "Full Warehouse": icon warehouse, Status: enable, mô tả ngắn visible</t>
  </si>
  <si>
    <t>GUI-KK26</t>
  </si>
  <si>
    <t>[Tạo phiếu kiểm kê] Button Scope – By Product</t>
  </si>
  <si>
    <t>Button "By Product": icon inventory_2, Status: enable</t>
  </si>
  <si>
    <t>GUI-KK27</t>
  </si>
  <si>
    <t>[Tạo phiếu kiểm kê] Textarea Description</t>
  </si>
  <si>
    <t>Textarea "Description": placeholder "Optional notes about this audit…", Status: enable</t>
  </si>
  <si>
    <t>Textarea visible, enable</t>
  </si>
  <si>
    <t>GUI-KK28</t>
  </si>
  <si>
    <t>[Tạo phiếu kiểm kê] Dropdown Select Warehouse</t>
  </si>
  <si>
    <t>Dropdown "Select Warehouse *": Status enable, option "Select a warehouse…", danh sách kho</t>
  </si>
  <si>
    <t>GUI-KK29</t>
  </si>
  <si>
    <t>[Tạo phiếu kiểm kê] Footer: label item count</t>
  </si>
  <si>
    <t>Sheet mở, đã chọn kho</t>
  </si>
  <si>
    <t>Label "X items · will be saved as Draft": visible</t>
  </si>
  <si>
    <t>GUI-KK30</t>
  </si>
  <si>
    <t>[Tạo phiếu kiểm kê] Nút "Create Ticket"</t>
  </si>
  <si>
    <t>Button "Create Ticket": color blue-600, Status: enable</t>
  </si>
  <si>
    <t>GUI-KK31</t>
  </si>
  <si>
    <t>[Tạo phiếu kiểm kê] Nút "Cancel"</t>
  </si>
  <si>
    <t>Button "Cancel": color slate, Status: enable</t>
  </si>
  <si>
    <t>GUI-KK32</t>
  </si>
  <si>
    <t>[Chi tiết phiếu kiểm kê] Breadcrumb quay lại</t>
  </si>
  <si>
    <t>Vào trang detail</t>
  </si>
  <si>
    <t>Button "← All Audits": visible, Status: enable</t>
  </si>
  <si>
    <t>GUI-KK33</t>
  </si>
  <si>
    <t>[Chi tiết phiếu kiểm kê] Mã phiếu + badge status</t>
  </si>
  <si>
    <t>Mã phiếu (font-mono), badge status, badge Type, badge Scope – tất cả visible</t>
  </si>
  <si>
    <t>Header visible</t>
  </si>
  <si>
    <t>GUI-KK34</t>
  </si>
  <si>
    <t>[Chi tiết phiếu kiểm kê] Info Cards</t>
  </si>
  <si>
    <t>4 info cards: Created by, Approved by, Total items, Progress – visible</t>
  </si>
  <si>
    <t>4 cards visible</t>
  </si>
  <si>
    <t>GUI-KK35</t>
  </si>
  <si>
    <t>[Chi tiết phiếu kiểm kê] Nút "Start Counting" (DRAFT)</t>
  </si>
  <si>
    <t>Phiếu DRAFT, có quyền update</t>
  </si>
  <si>
    <t>Button "Start Counting": color blue-600, Status: enable</t>
  </si>
  <si>
    <t>GUI-KK36</t>
  </si>
  <si>
    <t>[Chi tiết phiếu kiểm kê] Nút "Complete Audit" (COUNTING)</t>
  </si>
  <si>
    <t>Phiếu COUNTING, chưa đủ điều kiện complete</t>
  </si>
  <si>
    <t>Button "Complete Audit": color slate-100, Status: disable</t>
  </si>
  <si>
    <t>Button disable</t>
  </si>
  <si>
    <t>GUI-KK37</t>
  </si>
  <si>
    <t>[Chi tiết phiếu kiểm kê] Nút "Approve &amp; Sync Inventory"</t>
  </si>
  <si>
    <t>Phiếu COMPLETED, có quyền approve</t>
  </si>
  <si>
    <t>Button "Approve &amp; Sync Inventory": color emerald-600, Status: enable</t>
  </si>
  <si>
    <t>GUI-KK38</t>
  </si>
  <si>
    <t>[Chi tiết phiếu kiểm kê] Nút Export Excel/PDF</t>
  </si>
  <si>
    <t>Phiếu COMPLETED hoặc APPROVED, có quyền export</t>
  </si>
  <si>
    <t>Button "Excel": color emerald; Button "PDF": color rose – cả 2 visible</t>
  </si>
  <si>
    <t>Cả 2 button visible</t>
  </si>
  <si>
    <t>GUI-KK39</t>
  </si>
  <si>
    <t>[Chi tiết phiếu kiểm kê] Nút "Cancel" phiếu</t>
  </si>
  <si>
    <t>Phiếu DRAFT hoặc COUNTING, có quyền cancel</t>
  </si>
  <si>
    <t>Button "Cancel": border slate → rose khi hover, Status: enable</t>
  </si>
  <si>
    <t>GUI-KK40</t>
  </si>
  <si>
    <t>[Chi tiết phiếu kiểm kê] Banner lock khi COUNTING</t>
  </si>
  <si>
    <t>Phiếu COUNTING</t>
  </si>
  <si>
    <t>Banner xanh dương: "Inventory transactions… are locked until counting is completed or cancelled."</t>
  </si>
  <si>
    <t>Banner visible</t>
  </si>
  <si>
    <t>Tạo phiếu kiểm kê FULL scope thành công</t>
  </si>
  <si>
    <t>1. Click "Create New Ticket" 2. Chọn Type = Periodic 3. Chọn Scope = Full Warehouse 4. Chọn kho hợp lệ có tồn kho 5. Click "Create Ticket"</t>
  </si>
  <si>
    <t>Đã đăng nhập, có quyền create, có kho có tồn kho</t>
  </si>
  <si>
    <t>Phiếu tạo thành công, toast "Audit ticket created – saved as Draft", điều hướng đến trang detail</t>
  </si>
  <si>
    <t>Phiếu tạo thành công, trạng thái DRAFT</t>
  </si>
  <si>
    <t>Tạo phiếu kiểm kê PRODUCT scope thành công</t>
  </si>
  <si>
    <t>1. Chọn Scope = By Product 2. Chọn kho 3. Tích chọn ≥ 1 sản phẩm 4. Click "Create Ticket"</t>
  </si>
  <si>
    <t>Có sản phẩm trong kho</t>
  </si>
  <si>
    <t>Phiếu tạo thành công</t>
  </si>
  <si>
    <t>Tạo phiếu khi không chọn kho</t>
  </si>
  <si>
    <t>1. Mở sheet 2. Không chọn kho 3. Click "Create Ticket"</t>
  </si>
  <si>
    <t>Sheet đang mở</t>
  </si>
  <si>
    <t>Hiện lỗi "Please select a warehouse", không submit</t>
  </si>
  <si>
    <t>Lỗi validation hiện</t>
  </si>
  <si>
    <t>Tạo phiếu FULL scope với kho không có tồn kho</t>
  </si>
  <si>
    <t>1. Chọn FULL scope 2. Chọn kho không có inventory 3. Click "Create Ticket"</t>
  </si>
  <si>
    <t>Kho trống, không có sp</t>
  </si>
  <si>
    <t>Hiện lỗi "No inventory found in this warehouse"</t>
  </si>
  <si>
    <t>Tạo phiếu PRODUCT scope khi không chọn sản phẩm</t>
  </si>
  <si>
    <t>1. Chọn PRODUCT scope 2. Chọn kho 3. Không tích sản phẩm nào 4. Click "Create Ticket"</t>
  </si>
  <si>
    <t>Hiện lỗi "Select at least one product to audit"</t>
  </si>
  <si>
    <t>Tạo phiếu Ad Hoc thành công</t>
  </si>
  <si>
    <t>1. Chọn Type = Ad Hoc 2. Chọn Scope = Full Warehouse 3. Chọn kho 4. Click "Create Ticket"</t>
  </si>
  <si>
    <t>Kho có tồn kho</t>
  </si>
  <si>
    <t>Phiếu tạo thành công, type = AD_HOC</t>
  </si>
  <si>
    <t>Phiếu tạo đúng type</t>
  </si>
  <si>
    <t>Select All sản phẩm trong PRODUCT scope</t>
  </si>
  <si>
    <t>1. Chọn PRODUCT scope 2. Chọn kho 3. Click "Select all"</t>
  </si>
  <si>
    <t>Có ≥ 2 sản phẩm trong kho</t>
  </si>
  <si>
    <t>Tất cả checkbox được tích, tổng sp được chọn = tổng sp trong kho</t>
  </si>
  <si>
    <t>Select all đúng</t>
  </si>
  <si>
    <t>Deselect All sản phẩm</t>
  </si>
  <si>
    <t>1. Đang có tất cả sp được tích 2. Click "Deselect all"</t>
  </si>
  <si>
    <t>Đang ở trạng thái allSelected</t>
  </si>
  <si>
    <t>Tất cả checkbox bỏ tích, danh sách inventory locations ẩn</t>
  </si>
  <si>
    <t>Deselect all đúng</t>
  </si>
  <si>
    <t>Thay đổi Scope reset kho đã chọn</t>
  </si>
  <si>
    <t>1. Chọn FULL scope + chọn kho 2. Đổi sang PRODUCT scope</t>
  </si>
  <si>
    <t>Đang có kho được chọn</t>
  </si>
  <si>
    <t>Kho đã chọn bị reset, danh sách sản phẩm ẩn</t>
  </si>
  <si>
    <t>Reset đúng</t>
  </si>
  <si>
    <t>Thay đổi kho reset danh sách sản phẩm đã chọn</t>
  </si>
  <si>
    <t>1. PRODUCT scope, chọn kho A, tích sản phẩm 2. Đổi sang kho B</t>
  </si>
  <si>
    <t>Đang có sản phẩm được tích ở kho A</t>
  </si>
  <si>
    <t>Sản phẩm đã tích bị reset, load danh sách sp kho B</t>
  </si>
  <si>
    <t>Nhập Unit Price tuỳ chọn cho item</t>
  </si>
  <si>
    <t>1. FULL scope, chọn kho 2. Nhập unit price cho 1 item trong list</t>
  </si>
  <si>
    <t>Sheet đang mở, có inventory</t>
  </si>
  <si>
    <t>Unit price được nhập, preview hiển thị đúng</t>
  </si>
  <si>
    <t>Unit price nhận input</t>
  </si>
  <si>
    <t>Tìm kiếm phiếu theo Ticket Code</t>
  </si>
  <si>
    <t>1. Nhập mã phiếu vào ô tìm kiếm</t>
  </si>
  <si>
    <t>Danh sách lọc đúng theo mã phiếu, page reset về 1</t>
  </si>
  <si>
    <t>Tìm kiếm không có kết quả</t>
  </si>
  <si>
    <t>1. Nhập chuỗi không tồn tại</t>
  </si>
  <si>
    <t>Empty state: "No audit tickets found – Try adjusting your filters"</t>
  </si>
  <si>
    <t>Empty state hiện</t>
  </si>
  <si>
    <t>Lọc theo Status = COUNTING</t>
  </si>
  <si>
    <t>1. Chọn dropdown Status = Counting</t>
  </si>
  <si>
    <t>Có phiếu COUNTING</t>
  </si>
  <si>
    <t>Chỉ hiển thị phiếu trạng thái COUNTING, page reset về 1</t>
  </si>
  <si>
    <t>Lọc theo Type = Ad Hoc</t>
  </si>
  <si>
    <t>1. Chọn dropdown Type = Ad Hoc</t>
  </si>
  <si>
    <t>Có phiếu AD_HOC</t>
  </si>
  <si>
    <t>Chỉ hiển thị phiếu type = AD_HOC</t>
  </si>
  <si>
    <t>Lọc theo Scope = By Product</t>
  </si>
  <si>
    <t>1. Chọn dropdown Scope = By Product</t>
  </si>
  <si>
    <t>Có phiếu PRODUCT scope</t>
  </si>
  <si>
    <t>Chỉ hiển thị phiếu scope = PRODUCT</t>
  </si>
  <si>
    <t>Xóa bộ lọc bằng nút Clear</t>
  </si>
  <si>
    <t>1. Áp dụng ≥ 1 filter 2. Click nút "Clear" (X)</t>
  </si>
  <si>
    <t>Đang có filter active</t>
  </si>
  <si>
    <t>Tất cả filter reset, badge số lượng filter ẩn, danh sách hiện full</t>
  </si>
  <si>
    <t>Filter xóa</t>
  </si>
  <si>
    <t>Xem chi tiết phiếu</t>
  </si>
  <si>
    <t>1. Click vào dòng phiếu trong bảng</t>
  </si>
  <si>
    <t>Điều hướng đến /stock-count/{id}, hiển thị chi tiết phiếu</t>
  </si>
  <si>
    <t>Điều hướng đúng</t>
  </si>
  <si>
    <t>Bắt đầu kiểm kê (DRAFT → COUNTING)</t>
  </si>
  <si>
    <t>1. Vào detail phiếu DRAFT 2. Click "Start Counting"</t>
  </si>
  <si>
    <t>Phiếu chuyển sang COUNTING, toast "Audit started – Status changed to Counting.", banner lock xuất hiện</t>
  </si>
  <si>
    <t>Phiếu chuyển COUNTING</t>
  </si>
  <si>
    <t>Bắt đầu kiểm kê khi bị conflict với phiếu khác</t>
  </si>
  <si>
    <t>1. Đã có phiếu COUNTING trùng location 2. Thử Start Counting phiếu khác</t>
  </si>
  <si>
    <t>Có phiếu COUNTING đang active cùng location</t>
  </si>
  <si>
    <t>Toast lỗi: "Cannot start — another audit is already counting one or more overlapping locations. Complete or cancel that audit first…"</t>
  </si>
  <si>
    <t>Toast lỗi hiện</t>
  </si>
  <si>
    <t>Hoàn thành kiểm kê (COUNTING → COMPLETED)</t>
  </si>
  <si>
    <t>1. Phiếu COUNTING, đã đếm hết, không có variance chưa confirm 2. Click "Complete Audit"</t>
  </si>
  <si>
    <t>countedItems = totalItems, unconfirmedVariances = 0</t>
  </si>
  <si>
    <t>Phiếu chuyển sang COMPLETED, toast "Audit completed – Ready for manager approval."</t>
  </si>
  <si>
    <t>Phiếu chuyển COMPLETED</t>
  </si>
  <si>
    <t>Nút Complete bị disable khi chưa đếm hết</t>
  </si>
  <si>
    <t>1. Phiếu COUNTING, còn item chưa đếm</t>
  </si>
  <si>
    <t>countedItems &lt; totalItems</t>
  </si>
  <si>
    <t>Button "Complete Audit": disabled, tooltip "Count all items first", banner "X items still need to be counted"</t>
  </si>
  <si>
    <t>Button disable, banner visible</t>
  </si>
  <si>
    <t>FUNC-KK23</t>
  </si>
  <si>
    <t>Nút Complete bị disable khi có variance chưa confirm</t>
  </si>
  <si>
    <t>1. Phiếu COUNTING, đã đếm hết nhưng có variance chưa confirm</t>
  </si>
  <si>
    <t>unconfirmedVariances.length &gt; 0</t>
  </si>
  <si>
    <t>Button "Complete Audit": disabled, banner amber "X items have a variance that needs a reason…"</t>
  </si>
  <si>
    <t>FUNC-KK24</t>
  </si>
  <si>
    <t>Phê duyệt phiếu không có variance (COMPLETED → APPROVED)</t>
  </si>
  <si>
    <t>1. Phiếu COMPLETED, không có variance 2. Click "Approve &amp; Sync Inventory"</t>
  </si>
  <si>
    <t>Phiếu COMPLETED, allVarianceDetails.length = 0, có quyền approve</t>
  </si>
  <si>
    <t>Phiếu chuyển APPROVED trực tiếp, toast "Audit approved – Inventory has been updated."</t>
  </si>
  <si>
    <t>Phiếu chuyển APPROVED</t>
  </si>
  <si>
    <t>FUNC-KK25</t>
  </si>
  <si>
    <t>Phê duyệt phiếu có variance – hiện dialog xác nhận</t>
  </si>
  <si>
    <t>1. Phiếu COMPLETED có variance 2. Click "Approve &amp; Sync Inventory"</t>
  </si>
  <si>
    <t>allVarianceDetails.length &gt; 0</t>
  </si>
  <si>
    <t>Dialog "Approve with Variance" xuất hiện, liệt kê các item có chênh lệch</t>
  </si>
  <si>
    <t>Dialog variance hiện</t>
  </si>
  <si>
    <t>FUNC-KK26</t>
  </si>
  <si>
    <t>Xác nhận phê duyệt có variance</t>
  </si>
  <si>
    <t>1. Dialog variance hiện 2. Click xác nhận</t>
  </si>
  <si>
    <t>Dialog đang mở</t>
  </si>
  <si>
    <t>Phiếu chuyển APPROVED, inventory được sync, bảng Adjustments Applied hiện</t>
  </si>
  <si>
    <t>Phiếu approved, adjustments visible</t>
  </si>
  <si>
    <t>FUNC-KK27</t>
  </si>
  <si>
    <t>Hủy phiếu (DRAFT)</t>
  </si>
  <si>
    <t>1. Phiếu DRAFT 2. Click "Cancel" 3. Nhập lý do 4. Xác nhận</t>
  </si>
  <si>
    <t>Phiếu DRAFT, có quyền cancel</t>
  </si>
  <si>
    <t>Dialog cancel mở, sau confirm phiếu chuyển CANCELLED, toast "Audit cancelled"</t>
  </si>
  <si>
    <t>Phiếu chuyển CANCELLED</t>
  </si>
  <si>
    <t>FUNC-KK28</t>
  </si>
  <si>
    <t>Hủy phiếu (COUNTING)</t>
  </si>
  <si>
    <t>1. Phiếu COUNTING 2. Click "Cancel" 3. Nhập lý do 4. Xác nhận</t>
  </si>
  <si>
    <t>Phiếu chuyển CANCELLED, banner lock ẩn đi</t>
  </si>
  <si>
    <t>FUNC-KK29</t>
  </si>
  <si>
    <t>Nút Cancel không hiện khi phiếu COMPLETED/APPROVED</t>
  </si>
  <si>
    <t>1. Vào detail phiếu COMPLETED hoặc APPROVED</t>
  </si>
  <si>
    <t>Phiếu đã ở trạng thái terminal</t>
  </si>
  <si>
    <t>Button "Cancel" không xuất hiện</t>
  </si>
  <si>
    <t>Button ẩn</t>
  </si>
  <si>
    <t>FUNC-KK30</t>
  </si>
  <si>
    <t>Export Excel phiếu COMPLETED</t>
  </si>
  <si>
    <t>1. Phiếu COMPLETED 2. Click "Excel"</t>
  </si>
  <si>
    <t>Có quyền export</t>
  </si>
  <si>
    <t>File Excel được tải xuống, tên file theo mã phiếu</t>
  </si>
  <si>
    <t>File tải thành công</t>
  </si>
  <si>
    <t>FUNC-KK31</t>
  </si>
  <si>
    <t>Export PDF phiếu APPROVED</t>
  </si>
  <si>
    <t>1. Phiếu APPROVED 2. Click "PDF"</t>
  </si>
  <si>
    <t>File PDF được tải xuống</t>
  </si>
  <si>
    <t>FUNC-KK32</t>
  </si>
  <si>
    <t>Nút Export không hiện khi phiếu DRAFT/COUNTING</t>
  </si>
  <si>
    <t>1. Vào detail phiếu DRAFT</t>
  </si>
  <si>
    <t>Phiếu DRAFT</t>
  </si>
  <si>
    <t>Button Excel, PDF không hiển thị</t>
  </si>
  <si>
    <t>FUNC-KK33</t>
  </si>
  <si>
    <t>Bảng Inventory Adjustments chỉ hiện ở APPROVED</t>
  </si>
  <si>
    <t>1. Phiếu APPROVED có adjustments</t>
  </si>
  <si>
    <t>adjustments.length &gt; 0</t>
  </si>
  <si>
    <t>Bảng "Inventory Adjustments Applied" hiển thị: Product, Location, Type (INCREASE/DECREASE), Qty, Applied by</t>
  </si>
  <si>
    <t>Bảng hiện đúng</t>
  </si>
  <si>
    <t>FUNC-KK34</t>
  </si>
  <si>
    <t>Phân trang danh sách phiếu</t>
  </si>
  <si>
    <t>1. Chuyển sang trang 2</t>
  </si>
  <si>
    <t>Có &gt; 10 phiếu</t>
  </si>
  <si>
    <t>Trang 2 hiển thị, info "Showing X–Y of Z tickets" cập nhật</t>
  </si>
  <si>
    <t>FUNC-KK35</t>
  </si>
  <si>
    <t>Progress % tính đúng</t>
  </si>
  <si>
    <t>1. Phiếu COUNTING đã đếm 3/5 items</t>
  </si>
  <si>
    <t>counted_quantity != null cho 3 items</t>
  </si>
  <si>
    <t>Progress bar = 60%, label "60%"</t>
  </si>
  <si>
    <t>Progress tính đúng</t>
  </si>
  <si>
    <t>FUNC-KK36</t>
  </si>
  <si>
    <t>API lỗi – error state</t>
  </si>
  <si>
    <t>1. Tắt API 2. Tải danh sách phiếu</t>
  </si>
  <si>
    <t>API không khả dụng</t>
  </si>
  <si>
    <t>Hiện icon error đỏ, message "Failed to load audit tickets" kèm thông báo lỗi</t>
  </si>
  <si>
    <t>Error state hiện</t>
  </si>
  <si>
    <t>FUNC-KK37</t>
  </si>
  <si>
    <t>Quay lại danh sách từ detail</t>
  </si>
  <si>
    <t>1. Click "← All Audits" trong trang detail</t>
  </si>
  <si>
    <t>Đang ở trang detail</t>
  </si>
  <si>
    <t>Điều hướng về /stock-count</t>
  </si>
  <si>
    <t>[Danh sách hủy hàng] Tiêu đề trang</t>
  </si>
  <si>
    <t>Label "Stock Disposal": visible, color slate-900</t>
  </si>
  <si>
    <t>[Danh sách hủy hàng] Mô tả trang</t>
  </si>
  <si>
    <t>Description "Manage disposal tickets for damaged, expired, and defective goods.": visible</t>
  </si>
  <si>
    <t>[Danh sách hủy hàng] Nút "New Disposal Ticket"</t>
  </si>
  <si>
    <t>Có quyền stock_disposals:create</t>
  </si>
  <si>
    <t>Button "New Disposal Ticket": color blue-600, Status: enable</t>
  </si>
  <si>
    <t>[Danh sách hủy hàng] Nút ẩn khi không có quyền</t>
  </si>
  <si>
    <t>Không có quyền create</t>
  </si>
  <si>
    <t>Button "New Disposal Ticket" không hiển thị</t>
  </si>
  <si>
    <t>[Danh sách hủy hàng] KPI Card – Total Tickets</t>
  </si>
  <si>
    <t>KPI Card "Total Tickets": icon receipt_long, color slate, số liệu visible</t>
  </si>
  <si>
    <t>[Danh sách hủy hàng] KPI Card – Pending Approval</t>
  </si>
  <si>
    <t>KPI Card "Pending Approval": icon pending_actions, color amber, số liệu visible</t>
  </si>
  <si>
    <t>[Danh sách hủy hàng] KPI Card – Approved</t>
  </si>
  <si>
    <t>KPI Card "Approved": icon verified, color blue, số liệu visible</t>
  </si>
  <si>
    <t>[Danh sách hủy hàng] KPI Card – Completed</t>
  </si>
  <si>
    <t>KPI Card "Completed": icon check_circle, color emerald, số liệu visible</t>
  </si>
  <si>
    <t>[Danh sách hủy hàng] Textbox tìm kiếm</t>
  </si>
  <si>
    <t>[Danh sách hủy hàng] Dropdown lọc Status</t>
  </si>
  <si>
    <t>Dropdown: "All Statuses", DRAFT, PENDING, APPROVED, COMPLETED, CANCELLED – Status: enable</t>
  </si>
  <si>
    <t>GUI-HH11</t>
  </si>
  <si>
    <t>[Danh sách hủy hàng] Nút "Clear" filter</t>
  </si>
  <si>
    <t>Có filter active</t>
  </si>
  <si>
    <t>Button "Clear" (X icon): visible, hover color rose</t>
  </si>
  <si>
    <t>GUI-HH12</t>
  </si>
  <si>
    <t>[Danh sách hủy hàng] Header bảng</t>
  </si>
  <si>
    <t>Header: Ticket Code, Description, Created By, Items/Qty, Value, Status, Created – visible</t>
  </si>
  <si>
    <t>7 cột header visible</t>
  </si>
  <si>
    <t>GUI-HH13</t>
  </si>
  <si>
    <t>[Danh sách hủy hàng] Badge status – DRAFT</t>
  </si>
  <si>
    <t>Badge "Draft": color slate, dot visible</t>
  </si>
  <si>
    <t>GUI-HH14</t>
  </si>
  <si>
    <t>[Danh sách hủy hàng] Badge status – PENDING</t>
  </si>
  <si>
    <t>Có ticket PENDING</t>
  </si>
  <si>
    <t>Badge "Pending": color amber, dot visible</t>
  </si>
  <si>
    <t>Badge amber visible</t>
  </si>
  <si>
    <t>GUI-HH15</t>
  </si>
  <si>
    <t>[Danh sách hủy hàng] Badge status – APPROVED</t>
  </si>
  <si>
    <t>Badge "Approved": color blue, dot visible</t>
  </si>
  <si>
    <t>GUI-HH16</t>
  </si>
  <si>
    <t>[Danh sách hủy hàng] Badge status – COMPLETED</t>
  </si>
  <si>
    <t>Badge "Completed": color emerald, dot visible</t>
  </si>
  <si>
    <t>GUI-HH17</t>
  </si>
  <si>
    <t>[Danh sách hủy hàng] Badge status – CANCELLED</t>
  </si>
  <si>
    <t>Badge "Cancelled": color rose, dòng opacity-55</t>
  </si>
  <si>
    <t>GUI-HH18</t>
  </si>
  <si>
    <t>[Danh sách hủy hàng] Phân trang</t>
  </si>
  <si>
    <t>Nút Previous, Next, số trang visible; disabled đúng</t>
  </si>
  <si>
    <t>GUI-HH19</t>
  </si>
  <si>
    <t>[Tạo phiếu hủy hàng] Sheet tiêu đề</t>
  </si>
  <si>
    <t>Click "New Disposal Ticket"</t>
  </si>
  <si>
    <t>Sheet title "Create Disposal Ticket", icon PackageX màu rose, description visible</t>
  </si>
  <si>
    <t>GUI-HH20</t>
  </si>
  <si>
    <t>[Tạo phiếu hủy hàng] Textarea Description</t>
  </si>
  <si>
    <t>Textarea "Description": placeholder "Brief description of this disposal batch…", Status: enable</t>
  </si>
  <si>
    <t>Textarea visible</t>
  </si>
  <si>
    <t>GUI-HH21</t>
  </si>
  <si>
    <t>[Tạo phiếu hủy hàng] Label "Disposal Items"</t>
  </si>
  <si>
    <t>Label "DISPOSAL ITEMS": visible, color slate-400</t>
  </si>
  <si>
    <t>GUI-HH22</t>
  </si>
  <si>
    <t>[Tạo phiếu hủy hàng] Row sản phẩm: dropdown Product</t>
  </si>
  <si>
    <t>Sheet mở, có 1 row</t>
  </si>
  <si>
    <t>Dropdown/Search "Product *": Status enable, placeholder "Search by name or SKU…"</t>
  </si>
  <si>
    <t>Dropdown visible, enable</t>
  </si>
  <si>
    <t>GUI-HH23</t>
  </si>
  <si>
    <t>[Tạo phiếu hủy hàng] Row sản phẩm: dropdown Lot</t>
  </si>
  <si>
    <t>Sheet mở, chưa chọn sp</t>
  </si>
  <si>
    <t>Dropdown "Lot/Batch": Status disable, placeholder "Select product first"</t>
  </si>
  <si>
    <t>Dropdown disable</t>
  </si>
  <si>
    <t>GUI-HH24</t>
  </si>
  <si>
    <t>[Tạo phiếu hủy hàng] Row sản phẩm: dropdown Location</t>
  </si>
  <si>
    <t>Dropdown "Location *": Status disable, placeholder "Select product first"</t>
  </si>
  <si>
    <t>GUI-HH25</t>
  </si>
  <si>
    <t>[Tạo phiếu hủy hàng] Row sản phẩm: dropdown Disposal Reason</t>
  </si>
  <si>
    <t>Dropdown "Disposal Reason *": Status enable, option "Select reason…"</t>
  </si>
  <si>
    <t>GUI-HH26</t>
  </si>
  <si>
    <t>[Tạo phiếu hủy hàng] Input Quantity</t>
  </si>
  <si>
    <t>Input "Quantity *": type number, min=1, Status: enable</t>
  </si>
  <si>
    <t>Input visible, enable</t>
  </si>
  <si>
    <t>GUI-HH27</t>
  </si>
  <si>
    <t>[Tạo phiếu hủy hàng] Input Unit Price</t>
  </si>
  <si>
    <t>Input "Unit Price": prefix ₫, placeholder "0", Status: enable, optional</t>
  </si>
  <si>
    <t>Input visible</t>
  </si>
  <si>
    <t>GUI-HH28</t>
  </si>
  <si>
    <t>[Tạo phiếu hủy hàng] Input Note</t>
  </si>
  <si>
    <t>Input "Note": placeholder "Additional details…", Status: enable, optional</t>
  </si>
  <si>
    <t>GUI-HH29</t>
  </si>
  <si>
    <t>[Tạo phiếu hủy hàng] Nút "Add Item"</t>
  </si>
  <si>
    <t>Button "Add Item": dashed border, Status: enable</t>
  </si>
  <si>
    <t>GUI-HH30</t>
  </si>
  <si>
    <t>[Tạo phiếu hủy hàng] Nút "Create Draft"</t>
  </si>
  <si>
    <t>Button "Create Draft": color rose-600, Status: enable</t>
  </si>
  <si>
    <t>GUI-HH31</t>
  </si>
  <si>
    <t>[Tạo phiếu hủy hàng] Nút "Cancel"</t>
  </si>
  <si>
    <t>Button "Cancel": border slate, Status: enable</t>
  </si>
  <si>
    <t>GUI-HH32</t>
  </si>
  <si>
    <t>[Chi tiết phiếu hủy hàng] Breadcrumb</t>
  </si>
  <si>
    <t>Button "← Back": visible, color slate-500</t>
  </si>
  <si>
    <t>GUI-HH33</t>
  </si>
  <si>
    <t>[Chi tiết phiếu hủy hàng] Header + badge status</t>
  </si>
  <si>
    <t>Mã phiếu (text-3xl font-extrabold), badge status đúng màu, ngày tạo + người tạo visible</t>
  </si>
  <si>
    <t>GUI-HH34</t>
  </si>
  <si>
    <t>[Chi tiết phiếu hủy hàng] Summary Card</t>
  </si>
  <si>
    <t>Card gradient blue: Total Items, Total Quantity, Total Disposal Value (nếu &gt; 0) – visible</t>
  </si>
  <si>
    <t>Summary card visible</t>
  </si>
  <si>
    <t>GUI-HH35</t>
  </si>
  <si>
    <t>[Chi tiết phiếu hủy hàng] Workflow Timeline</t>
  </si>
  <si>
    <t>Timeline 4 bước: Created→Submitted→Approved→Completed; step hiện tại animate pulse</t>
  </si>
  <si>
    <t>Timeline visible</t>
  </si>
  <si>
    <t>GUI-HH36</t>
  </si>
  <si>
    <t>[Chi tiết phiếu hủy hàng] Bảng Disposal Items</t>
  </si>
  <si>
    <t>Bảng có header: #, Product, Location, Reason, Qty, Unit Price, Amount – visible</t>
  </si>
  <si>
    <t>Bảng visible</t>
  </si>
  <si>
    <t>GUI-HH37</t>
  </si>
  <si>
    <t>[Chi tiết phiếu hủy hàng] Nút "Submit for Approval" (DRAFT)</t>
  </si>
  <si>
    <t>Button "Submit for Approval": color blue-600, Status: enable</t>
  </si>
  <si>
    <t>GUI-HH38</t>
  </si>
  <si>
    <t>[Chi tiết phiếu hủy hàng] Nút "Submit" disabled khi không có items</t>
  </si>
  <si>
    <t>Phiếu DRAFT, details = []</t>
  </si>
  <si>
    <t>Button "Submit for Approval": Status disable</t>
  </si>
  <si>
    <t>GUI-HH39</t>
  </si>
  <si>
    <t>[Chi tiết phiếu hủy hàng] Nút "Approve" (PENDING)</t>
  </si>
  <si>
    <t>Phiếu PENDING, có quyền approve</t>
  </si>
  <si>
    <t>Button "Approve": color emerald-600, Status: enable</t>
  </si>
  <si>
    <t>GUI-HH40</t>
  </si>
  <si>
    <t>[Chi tiết phiếu hủy hàng] Nút "Complete &amp; Deduct Stock" (APPROVED)</t>
  </si>
  <si>
    <t>Phiếu APPROVED, có quyền approve</t>
  </si>
  <si>
    <t>Button "Complete &amp; Deduct Stock": color blue-600, Status: enable</t>
  </si>
  <si>
    <t>GUI-HH41</t>
  </si>
  <si>
    <t>[Chi tiết phiếu hủy hàng] Nút "Cancel Ticket"</t>
  </si>
  <si>
    <t>Phiếu chưa COMPLETED/CANCELLED</t>
  </si>
  <si>
    <t>Button "Cancel Ticket": border slate → rose khi hover, Status: enable</t>
  </si>
  <si>
    <t>GUI-HH42</t>
  </si>
  <si>
    <t>[Chi tiết phiếu hủy hàng] Activity Log</t>
  </si>
  <si>
    <t>Phiếu có lịch sử thay đổi</t>
  </si>
  <si>
    <t>Section "Activity Log": hiển thị lịch sử các status thay đổi, người thực hiện, thời gian</t>
  </si>
  <si>
    <t>Activity log visible</t>
  </si>
  <si>
    <t>1. Click "New Disposal Ticket" 2. Nhập Description 3. Chọn Product, Location, Reason 4. Nhập Quantity hợp lệ 5. Click "Create Draft"</t>
  </si>
  <si>
    <t>Có sản phẩm tồn kho, có Disposal Reason</t>
  </si>
  <si>
    <t>Phiếu tạo thành công, toast "Disposal ticket created – Saved as Draft.", sheet đóng</t>
  </si>
  <si>
    <t>Phiếu tạo thành công, DRAFT</t>
  </si>
  <si>
    <t>Tạo phiếu với nhiều items</t>
  </si>
  <si>
    <t>1. Thêm 3 rows bằng "Add Item" 2. Điền đủ Product, Location, Reason, Qty cho mỗi row 3. Click "Create Draft"</t>
  </si>
  <si>
    <t>Có ≥ 3 sản phẩm</t>
  </si>
  <si>
    <t>Phiếu tạo thành công với 3 dòng items</t>
  </si>
  <si>
    <t>Phiếu đủ 3 dòng</t>
  </si>
  <si>
    <t>Tạo phiếu khi không chọn Product</t>
  </si>
  <si>
    <t>1. Không chọn sản phẩm 2. Click "Create Draft"</t>
  </si>
  <si>
    <t>Hiện lỗi validation cho field Product</t>
  </si>
  <si>
    <t>Lỗi hiện</t>
  </si>
  <si>
    <t>Tạo phiếu khi không chọn Reason</t>
  </si>
  <si>
    <t>1. Chọn product, location 2. Không chọn reason 3. Click "Create Draft"</t>
  </si>
  <si>
    <t>Hiện lỗi validation cho field Disposal Reason</t>
  </si>
  <si>
    <t>Tạo phiếu khi Quantity = 0</t>
  </si>
  <si>
    <t>1. Nhập Quantity = 0 2. Click "Create Draft"</t>
  </si>
  <si>
    <t>Hiện lỗi validation cho field Quantity (min=1)</t>
  </si>
  <si>
    <t>Tạo phiếu khi Quantity vượt Available</t>
  </si>
  <si>
    <t>1. Chọn product + location có Available=5 2. Nhập Qty=10 3. Click "Create Draft"</t>
  </si>
  <si>
    <t>Available tại location = 5</t>
  </si>
  <si>
    <t>Toast "Stock error – One or more lines exceed available stock.", field Qty hiện "Over by 5" màu rose</t>
  </si>
  <si>
    <t>Lỗi stock hiện</t>
  </si>
  <si>
    <t>Tạo phiếu khi Quantity = Available (boundary)</t>
  </si>
  <si>
    <t>1. Nhập Qty = Available 2. Click "Create Draft"</t>
  </si>
  <si>
    <t>Qty = Available</t>
  </si>
  <si>
    <t>Phiếu tạo thành công (boundary hợp lệ)</t>
  </si>
  <si>
    <t>Dropdown Location bật sau khi chọn Product</t>
  </si>
  <si>
    <t>1. Chọn Product 2. Quan sát dropdown Location</t>
  </si>
  <si>
    <t>SP không có lot</t>
  </si>
  <si>
    <t>Dropdown Location chuyển từ disable sang enable, tự động điền location đầu tiên</t>
  </si>
  <si>
    <t>Location enable, auto-fill</t>
  </si>
  <si>
    <t>Dropdown Lot hiện khi product có lot</t>
  </si>
  <si>
    <t>1. Chọn product quản lý theo lot</t>
  </si>
  <si>
    <t>SP tracked by lot</t>
  </si>
  <si>
    <t>Dropdown "Lot/Batch" enable, hiển thị danh sách lot của sản phẩm</t>
  </si>
  <si>
    <t>Dropdown lot enable</t>
  </si>
  <si>
    <t>Location phụ thuộc vào Lot đã chọn</t>
  </si>
  <si>
    <t>1. Chọn product có lot 2. Chọn lot A 3. Quan sát Location</t>
  </si>
  <si>
    <t>SP có nhiều lot ở nhiều vị trí</t>
  </si>
  <si>
    <t>Location chỉ hiển thị các vị trí có lot A</t>
  </si>
  <si>
    <t>Location lọc theo lot</t>
  </si>
  <si>
    <t>Cảnh báo "Select lot to see locations"</t>
  </si>
  <si>
    <t>1. Chọn product có lot 2. Chưa chọn lot 3. Quan sát Location</t>
  </si>
  <si>
    <t>SP có lot</t>
  </si>
  <si>
    <t>Hiển thị message amber "Select lot to see locations"</t>
  </si>
  <si>
    <t>Message visible</t>
  </si>
  <si>
    <t>Line total tự động tính</t>
  </si>
  <si>
    <t>1. Chọn Product, Qty = 10, Unit Price = 50000</t>
  </si>
  <si>
    <t>Line total hiển thị "500.000 ₫"</t>
  </si>
  <si>
    <t>Line total đúng</t>
  </si>
  <si>
    <t>Tổng Total hiển thị ở header Disposal Items</t>
  </si>
  <si>
    <t>1. Nhập Qty và Unit Price cho 2 rows</t>
  </si>
  <si>
    <t>Sheet có 2 rows có unit price</t>
  </si>
  <si>
    <t>Label "Total: X ₫" hiển thị tổng toàn bộ</t>
  </si>
  <si>
    <t>Total tính đúng</t>
  </si>
  <si>
    <t>Xóa 1 row trong form</t>
  </si>
  <si>
    <t>1. Thêm 2 rows 2. Click icon Trash trên row 1</t>
  </si>
  <si>
    <t>Form có ≥ 2 rows</t>
  </si>
  <si>
    <t>Row 1 bị xóa, chỉ còn row 2; icon Trash ẩn khi chỉ còn 1 row</t>
  </si>
  <si>
    <t>Xóa row đúng</t>
  </si>
  <si>
    <t>Có phiếu disposal</t>
  </si>
  <si>
    <t>Danh sách lọc đúng, page reset về 1</t>
  </si>
  <si>
    <t>Có dữ liệu</t>
  </si>
  <si>
    <t>Empty state: "No disposal tickets found – Try adjusting your filters"</t>
  </si>
  <si>
    <t>Lọc theo Status = PENDING</t>
  </si>
  <si>
    <t>1. Chọn dropdown Status = Pending</t>
  </si>
  <si>
    <t>Có phiếu PENDING</t>
  </si>
  <si>
    <t>Chỉ hiển thị phiếu PENDING</t>
  </si>
  <si>
    <t>Xóa filter bằng nút Clear</t>
  </si>
  <si>
    <t>1. Áp dụng filter 2. Click "Clear"</t>
  </si>
  <si>
    <t>Tất cả filter reset, danh sách hiện đầy đủ</t>
  </si>
  <si>
    <t>1. Click vào dòng phiếu</t>
  </si>
  <si>
    <t>Điều hướng đến /stock-disposal/{id}, hiển thị detail</t>
  </si>
  <si>
    <t>Submit phiếu (DRAFT → PENDING)</t>
  </si>
  <si>
    <t>1. Vào detail phiếu DRAFT 2. Click "Submit for Approval" 3. Confirm dialog</t>
  </si>
  <si>
    <t>Phiếu DRAFT, có quyền update, details &gt; 0</t>
  </si>
  <si>
    <t>Dialog xác nhận hiện, sau confirm phiếu chuyển PENDING, toast "Submitted – Ticket sent for approval.", workflow step 2 active</t>
  </si>
  <si>
    <t>Phiếu chuyển PENDING</t>
  </si>
  <si>
    <t>FUNC-HH21</t>
  </si>
  <si>
    <t>Phê duyệt phiếu (PENDING → APPROVED)</t>
  </si>
  <si>
    <t>1. Vào detail phiếu PENDING 2. Click "Approve" 3. Confirm dialog</t>
  </si>
  <si>
    <t>Phiếu chuyển APPROVED, toast "Approved – Ticket has been approved.", workflow step 3 active</t>
  </si>
  <si>
    <t>FUNC-HH22</t>
  </si>
  <si>
    <t>Hoàn thành hủy hàng (APPROVED → COMPLETED)</t>
  </si>
  <si>
    <t>1. Phiếu APPROVED 2. Click "Complete &amp; Deduct Stock" 3. Confirm dialog</t>
  </si>
  <si>
    <t>Dialog cảnh báo "permanently deduct X item(s) from inventory. This cannot be undone."; sau confirm phiếu chuyển COMPLETED, tồn kho bị trừ</t>
  </si>
  <si>
    <t>Phiếu chuyển COMPLETED, tồn kho giảm</t>
  </si>
  <si>
    <t>FUNC-HH23</t>
  </si>
  <si>
    <t>1. Phiếu DRAFT 2. Click "Cancel Ticket" 3. Confirm dialog</t>
  </si>
  <si>
    <t>Phiếu chuyển CANCELLED, toast "Cancelled", nút Cancel Ticket ẩn</t>
  </si>
  <si>
    <t>Phiếu CANCELLED</t>
  </si>
  <si>
    <t>FUNC-HH24</t>
  </si>
  <si>
    <t>Hủy phiếu (PENDING)</t>
  </si>
  <si>
    <t>1. Phiếu PENDING 2. Click "Cancel Ticket" 3. Confirm dialog</t>
  </si>
  <si>
    <t>Phiếu PENDING, có quyền cancel</t>
  </si>
  <si>
    <t>FUNC-HH25</t>
  </si>
  <si>
    <t>Nút Cancel ẩn khi COMPLETED</t>
  </si>
  <si>
    <t>1. Phiếu COMPLETED</t>
  </si>
  <si>
    <t>Phiếu trạng thái COMPLETED</t>
  </si>
  <si>
    <t>Button "Cancel Ticket" không hiển thị</t>
  </si>
  <si>
    <t>FUNC-HH26</t>
  </si>
  <si>
    <t>Nút Cancel ẩn khi CANCELLED</t>
  </si>
  <si>
    <t>1. Phiếu CANCELLED</t>
  </si>
  <si>
    <t>Phiếu trạng thái CANCELLED</t>
  </si>
  <si>
    <t>Button "Cancel Ticket" không hiển thị, workflow hiển thị "Cancelled" màu rose</t>
  </si>
  <si>
    <t>FUNC-HH27</t>
  </si>
  <si>
    <t>Dialog xác nhận Complete là destructive</t>
  </si>
  <si>
    <t>1. Click "Complete &amp; Deduct Stock"</t>
  </si>
  <si>
    <t>Phiếu APPROVED</t>
  </si>
  <si>
    <t>Dialog hiện với nút "Confirm" màu rose-600 (destructive)</t>
  </si>
  <si>
    <t>Dialog destructive</t>
  </si>
  <si>
    <t>FUNC-HH28</t>
  </si>
  <si>
    <t>Activity Log ghi lại đúng lịch sử</t>
  </si>
  <si>
    <t>1. Vào detail phiếu đã qua nhiều bước</t>
  </si>
  <si>
    <t>Phiếu có history</t>
  </si>
  <si>
    <t>Activity Log liệt kê đúng thứ tự: DRAFT → PENDING → APPROVED → COMPLETED, với người thực hiện, thời gian</t>
  </si>
  <si>
    <t>Log đúng</t>
  </si>
  <si>
    <t>FUNC-HH29</t>
  </si>
  <si>
    <t>Workflow Timeline highlight đúng bước hiện tại</t>
  </si>
  <si>
    <t>1. Phiếu APPROVED</t>
  </si>
  <si>
    <t>Status = APPROVED</t>
  </si>
  <si>
    <t>Step 3 "Approved" animate pulse (active), step 1-2 checked (done), step 4 opacity-40 (upcoming)</t>
  </si>
  <si>
    <t>Timeline đúng</t>
  </si>
  <si>
    <t>FUNC-HH30</t>
  </si>
  <si>
    <t>Phân trang danh sách</t>
  </si>
  <si>
    <t>Trang 2 hiển thị, "Showing X–Y of Z tickets" cập nhật</t>
  </si>
  <si>
    <t>FUNC-HH31</t>
  </si>
  <si>
    <t>Tổng value hiển thị trong bảng detail</t>
  </si>
  <si>
    <t>1. Phiếu có items có unit price 2. Xem bảng Disposal Items</t>
  </si>
  <si>
    <t>totalValue &gt; 0</t>
  </si>
  <si>
    <t>Footer bảng hiển thị tổng giá trị màu rose-600</t>
  </si>
  <si>
    <t>Total value đúng</t>
  </si>
  <si>
    <t>FUNC-HH32</t>
  </si>
  <si>
    <t>Thông tin lot trong bảng items</t>
  </si>
  <si>
    <t>1. Phiếu có item chọn theo lot</t>
  </si>
  <si>
    <t>Detail có lot</t>
  </si>
  <si>
    <t>Cột Product hiển thị thêm "Lot: [lot_no]" và ngày hết hạn nếu có</t>
  </si>
  <si>
    <t>Thông tin lot đúng</t>
  </si>
  <si>
    <t>FUNC-HH33</t>
  </si>
  <si>
    <t>1. Tắt API 2. Tải danh sách</t>
  </si>
  <si>
    <t>Icon error đỏ, message "Failed to load disposal tickets"</t>
  </si>
  <si>
    <t>FUNC-HH34</t>
  </si>
  <si>
    <t>1. Click "← Back" trong trang detail</t>
  </si>
  <si>
    <t>Điều hướng về /stock-disposal</t>
  </si>
  <si>
    <t>FUNC-HH35</t>
  </si>
  <si>
    <t>Location không hợp lệ bị báo lỗi khi submit</t>
  </si>
  <si>
    <t>1. Chọn product, chọn location X 2. Location X không còn hold product sau khi load 3. Click "Create Draft"</t>
  </si>
  <si>
    <t>Location không hợp lệ</t>
  </si>
  <si>
    <t>Hiện lỗi "This location does not hold the selected product / lot." trên field Location</t>
  </si>
  <si>
    <t>24/4/2026</t>
  </si>
  <si>
    <t>GUI_SHOW Trang quản hủy hảng</t>
  </si>
  <si>
    <t>FUNCTION_SHOW Trang quản lý hủy hàng</t>
  </si>
  <si>
    <t>Không có mô tả trang</t>
  </si>
  <si>
    <t>Không có thông báo gì hiện ra
Không cho phép tạo phiếu</t>
  </si>
  <si>
    <t>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</si>
</sst>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5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3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3"/>
      <color rgb="FF00000A"/>
      <name val="Times New Roman"/>
      <family val="1"/>
    </font>
    <font>
      <sz val="13"/>
      <color theme="9"/>
      <name val="Times New Roman"/>
      <family val="1"/>
    </font>
    <font>
      <sz val="11"/>
      <color theme="9"/>
      <name val="Calibri"/>
      <family val="2"/>
      <scheme val="minor"/>
    </font>
    <font>
      <b/>
      <sz val="13"/>
      <color theme="0"/>
      <name val="Times New Roman"/>
      <family val="1"/>
    </font>
    <font>
      <sz val="13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3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theme="0"/>
        <bgColor indexed="41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9" fillId="0" borderId="0" applyBorder="0" applyProtection="0">
      <alignment vertical="center"/>
    </xf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top"/>
    </xf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5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6" fillId="5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164" fontId="5" fillId="0" borderId="0" xfId="0" applyNumberFormat="1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2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vertical="top"/>
    </xf>
    <xf numFmtId="14" fontId="2" fillId="0" borderId="2" xfId="0" applyNumberFormat="1" applyFont="1" applyBorder="1" applyAlignment="1">
      <alignment vertical="top"/>
    </xf>
    <xf numFmtId="0" fontId="0" fillId="0" borderId="2" xfId="0" applyBorder="1"/>
    <xf numFmtId="0" fontId="5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/>
    </xf>
    <xf numFmtId="14" fontId="3" fillId="0" borderId="5" xfId="0" applyNumberFormat="1" applyFont="1" applyBorder="1" applyAlignment="1">
      <alignment horizontal="center" vertical="top"/>
    </xf>
    <xf numFmtId="0" fontId="5" fillId="0" borderId="5" xfId="0" applyFont="1" applyBorder="1" applyAlignment="1">
      <alignment vertical="top"/>
    </xf>
    <xf numFmtId="0" fontId="7" fillId="8" borderId="1" xfId="0" applyFont="1" applyFill="1" applyBorder="1" applyAlignment="1">
      <alignment vertical="center"/>
    </xf>
    <xf numFmtId="0" fontId="7" fillId="8" borderId="8" xfId="0" applyFont="1" applyFill="1" applyBorder="1" applyAlignment="1">
      <alignment vertical="center"/>
    </xf>
    <xf numFmtId="0" fontId="5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" xfId="0" applyBorder="1"/>
    <xf numFmtId="0" fontId="5" fillId="0" borderId="8" xfId="0" applyFont="1" applyBorder="1" applyAlignment="1">
      <alignment horizontal="center" vertical="top"/>
    </xf>
    <xf numFmtId="0" fontId="0" fillId="0" borderId="8" xfId="0" applyBorder="1"/>
    <xf numFmtId="0" fontId="11" fillId="0" borderId="0" xfId="0" applyFont="1" applyAlignment="1">
      <alignment horizontal="center" vertical="top"/>
    </xf>
    <xf numFmtId="0" fontId="11" fillId="3" borderId="1" xfId="0" applyFont="1" applyFill="1" applyBorder="1" applyAlignment="1">
      <alignment horizontal="left" vertical="top" wrapText="1"/>
    </xf>
    <xf numFmtId="0" fontId="12" fillId="0" borderId="0" xfId="0" applyFont="1"/>
    <xf numFmtId="0" fontId="13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9" xfId="0" applyFont="1" applyFill="1" applyBorder="1" applyAlignment="1">
      <alignment horizontal="left" vertical="top"/>
    </xf>
    <xf numFmtId="0" fontId="7" fillId="7" borderId="10" xfId="0" applyFont="1" applyFill="1" applyBorder="1" applyAlignment="1">
      <alignment horizontal="left" vertical="top"/>
    </xf>
    <xf numFmtId="0" fontId="7" fillId="7" borderId="7" xfId="0" applyFont="1" applyFill="1" applyBorder="1" applyAlignment="1">
      <alignment horizontal="left" vertical="top"/>
    </xf>
    <xf numFmtId="0" fontId="7" fillId="7" borderId="8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4" fillId="3" borderId="1" xfId="0" applyFont="1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10" xfId="2" xr:uid="{DF1D2175-C3D5-40E1-BADD-44F666979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1709058</xdr:colOff>
      <xdr:row>5</xdr:row>
      <xdr:rowOff>97971</xdr:rowOff>
    </xdr:from>
    <xdr:to>
      <xdr:col>5</xdr:col>
      <xdr:colOff>2079171</xdr:colOff>
      <xdr:row>5</xdr:row>
      <xdr:rowOff>5071974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DAC47-ACCB-A55E-EDFF-6E0642CA9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858" y="1186542"/>
          <a:ext cx="10439399" cy="49740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2177142</xdr:colOff>
      <xdr:row>5</xdr:row>
      <xdr:rowOff>43543</xdr:rowOff>
    </xdr:from>
    <xdr:to>
      <xdr:col>5</xdr:col>
      <xdr:colOff>2068285</xdr:colOff>
      <xdr:row>5</xdr:row>
      <xdr:rowOff>4872684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18AD8F-5D40-0E33-ADA5-8D46E9744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3942" y="1132114"/>
          <a:ext cx="9960429" cy="4829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F249-E5E1-458E-A793-F33F940FE604}">
  <dimension ref="A1:E11"/>
  <sheetViews>
    <sheetView workbookViewId="0">
      <selection activeCell="D6" sqref="D6"/>
    </sheetView>
  </sheetViews>
  <sheetFormatPr defaultRowHeight="14.4"/>
  <cols>
    <col min="1" max="1" width="11.77734375" bestFit="1" customWidth="1"/>
    <col min="2" max="2" width="42.21875" bestFit="1" customWidth="1"/>
    <col min="3" max="3" width="35.44140625" bestFit="1" customWidth="1"/>
    <col min="4" max="4" width="14.6640625" bestFit="1" customWidth="1"/>
    <col min="5" max="5" width="8.77734375" bestFit="1" customWidth="1"/>
  </cols>
  <sheetData>
    <row r="1" spans="1:5">
      <c r="A1" s="59" t="s">
        <v>0</v>
      </c>
      <c r="B1" s="59"/>
      <c r="C1" s="59"/>
      <c r="D1" s="59"/>
      <c r="E1" s="59"/>
    </row>
    <row r="2" spans="1:5">
      <c r="A2" s="59"/>
      <c r="B2" s="59"/>
      <c r="C2" s="59"/>
      <c r="D2" s="59"/>
      <c r="E2" s="59"/>
    </row>
    <row r="3" spans="1:5" ht="16.8">
      <c r="A3" s="1" t="s">
        <v>1</v>
      </c>
      <c r="B3" s="60" t="s">
        <v>2</v>
      </c>
      <c r="C3" s="61"/>
      <c r="D3" s="61"/>
      <c r="E3" s="2"/>
    </row>
    <row r="4" spans="1:5" ht="16.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ht="16.8">
      <c r="A5" s="4">
        <v>1</v>
      </c>
      <c r="B5" s="5" t="s">
        <v>9</v>
      </c>
      <c r="C5" s="5" t="s">
        <v>9</v>
      </c>
      <c r="D5" s="6">
        <v>77</v>
      </c>
      <c r="E5" s="1"/>
    </row>
    <row r="6" spans="1:5" ht="16.8">
      <c r="A6" s="7">
        <v>2</v>
      </c>
      <c r="B6" s="7" t="s">
        <v>10</v>
      </c>
      <c r="C6" s="7" t="s">
        <v>10</v>
      </c>
      <c r="D6" s="6">
        <v>77</v>
      </c>
      <c r="E6" s="8"/>
    </row>
    <row r="7" spans="1:5" ht="16.8">
      <c r="A7" s="9"/>
      <c r="C7" s="10" t="s">
        <v>8</v>
      </c>
      <c r="D7" s="11">
        <f>SUM(D5:D6)</f>
        <v>154</v>
      </c>
      <c r="E7" s="12"/>
    </row>
    <row r="8" spans="1:5" ht="16.8">
      <c r="A8" s="9"/>
      <c r="B8" s="13"/>
      <c r="C8" s="14"/>
      <c r="D8" s="11"/>
      <c r="E8" s="12"/>
    </row>
    <row r="9" spans="1:5" ht="16.8">
      <c r="A9" s="9"/>
      <c r="B9" s="13"/>
      <c r="C9" s="14"/>
      <c r="D9" s="11"/>
      <c r="E9" s="12"/>
    </row>
    <row r="10" spans="1:5" ht="16.8">
      <c r="A10" s="15"/>
      <c r="B10" s="16"/>
      <c r="C10" s="11"/>
      <c r="D10" s="11"/>
      <c r="E10" s="17"/>
    </row>
    <row r="11" spans="1:5" ht="16.8">
      <c r="A11" s="11"/>
      <c r="B11" s="11"/>
      <c r="D11" s="11"/>
      <c r="E11" s="11"/>
    </row>
  </sheetData>
  <mergeCells count="2">
    <mergeCell ref="A1:E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8AF7-E046-4D44-9B89-F3CC54A1D8C1}">
  <dimension ref="A1:M88"/>
  <sheetViews>
    <sheetView topLeftCell="A45" zoomScale="70" zoomScaleNormal="70" workbookViewId="0">
      <selection activeCell="E55" sqref="E55"/>
    </sheetView>
  </sheetViews>
  <sheetFormatPr defaultRowHeight="14.4"/>
  <cols>
    <col min="1" max="1" width="15.5546875" bestFit="1" customWidth="1"/>
    <col min="2" max="2" width="35" customWidth="1"/>
    <col min="3" max="3" width="41.6640625" bestFit="1" customWidth="1"/>
    <col min="4" max="4" width="23.21875" bestFit="1" customWidth="1"/>
    <col min="5" max="5" width="46.88671875" customWidth="1"/>
    <col min="6" max="6" width="78.5546875" bestFit="1" customWidth="1"/>
    <col min="7" max="7" width="12.109375" style="49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16.8">
      <c r="A1" s="18" t="s">
        <v>11</v>
      </c>
      <c r="B1" s="51" t="s">
        <v>2</v>
      </c>
      <c r="C1" s="51"/>
      <c r="D1" s="51"/>
      <c r="E1" s="51"/>
      <c r="F1" s="51"/>
      <c r="G1" s="47"/>
      <c r="H1" s="20"/>
      <c r="I1" s="21"/>
      <c r="J1" s="19"/>
      <c r="K1" s="21"/>
      <c r="L1" s="21"/>
      <c r="M1" s="21"/>
    </row>
    <row r="2" spans="1:13" ht="16.8">
      <c r="A2" s="18" t="s">
        <v>12</v>
      </c>
      <c r="B2" s="52" t="s">
        <v>34</v>
      </c>
      <c r="C2" s="52"/>
      <c r="D2" s="52"/>
      <c r="E2" s="52"/>
      <c r="F2" s="52"/>
      <c r="G2" s="47"/>
      <c r="H2" s="20"/>
      <c r="I2" s="21"/>
      <c r="J2" s="19"/>
      <c r="K2" s="21"/>
      <c r="L2" s="21"/>
      <c r="M2" s="21"/>
    </row>
    <row r="3" spans="1:13" ht="16.8">
      <c r="A3" s="22"/>
      <c r="B3" s="23" t="s">
        <v>13</v>
      </c>
      <c r="C3" s="23" t="s">
        <v>14</v>
      </c>
      <c r="D3" s="23" t="s">
        <v>15</v>
      </c>
      <c r="E3" s="23" t="s">
        <v>16</v>
      </c>
      <c r="F3" s="23" t="s">
        <v>17</v>
      </c>
      <c r="G3" s="47"/>
      <c r="H3" s="20"/>
      <c r="I3" s="21"/>
      <c r="J3" s="19"/>
      <c r="K3" s="21"/>
      <c r="L3" s="21"/>
      <c r="M3" s="21"/>
    </row>
    <row r="4" spans="1:13" ht="16.8">
      <c r="A4" s="24" t="s">
        <v>18</v>
      </c>
      <c r="B4" s="25">
        <v>77</v>
      </c>
      <c r="C4" s="25">
        <v>0</v>
      </c>
      <c r="D4" s="22">
        <f>COUNTIF(G51:G55,"Untested")</f>
        <v>0</v>
      </c>
      <c r="E4" s="26">
        <f>COUNTIF(G51:G55,"Blocked")</f>
        <v>0</v>
      </c>
      <c r="F4" s="22">
        <v>77</v>
      </c>
      <c r="G4" s="47"/>
      <c r="H4" s="20"/>
      <c r="I4" s="21"/>
      <c r="J4" s="19"/>
      <c r="K4" s="21"/>
      <c r="L4" s="21"/>
      <c r="M4" s="21"/>
    </row>
    <row r="5" spans="1:13" ht="16.8">
      <c r="A5" s="24" t="s">
        <v>19</v>
      </c>
      <c r="B5" s="25">
        <v>22</v>
      </c>
      <c r="C5" s="25">
        <v>0</v>
      </c>
      <c r="D5" s="22">
        <f>COUNTIF(J51:J55,"Untested")</f>
        <v>0</v>
      </c>
      <c r="E5" s="26">
        <f>COUNTIF(J51:J55,"Blocked")</f>
        <v>0</v>
      </c>
      <c r="F5" s="22">
        <v>12</v>
      </c>
      <c r="G5" s="47"/>
      <c r="H5" s="20"/>
      <c r="I5" s="21"/>
      <c r="J5" s="19"/>
      <c r="K5" s="21"/>
      <c r="L5" s="21"/>
      <c r="M5" s="21"/>
    </row>
    <row r="6" spans="1:13" ht="408.6" customHeight="1">
      <c r="A6" s="63"/>
      <c r="B6" s="64"/>
      <c r="C6" s="64"/>
      <c r="D6" s="64"/>
      <c r="E6" s="64"/>
      <c r="F6" s="65"/>
      <c r="G6" s="47"/>
      <c r="H6" s="20"/>
      <c r="I6" s="21"/>
      <c r="J6" s="19"/>
      <c r="K6" s="21"/>
      <c r="L6" s="21"/>
      <c r="M6" s="21"/>
    </row>
    <row r="7" spans="1:13" ht="16.8">
      <c r="A7" s="53" t="s">
        <v>20</v>
      </c>
      <c r="B7" s="53" t="s">
        <v>7</v>
      </c>
      <c r="C7" s="53" t="s">
        <v>21</v>
      </c>
      <c r="D7" s="53" t="s">
        <v>22</v>
      </c>
      <c r="E7" s="53" t="s">
        <v>23</v>
      </c>
      <c r="F7" s="53" t="s">
        <v>24</v>
      </c>
      <c r="G7" s="53" t="s">
        <v>25</v>
      </c>
      <c r="H7" s="53"/>
      <c r="I7" s="53"/>
      <c r="J7" s="53" t="s">
        <v>25</v>
      </c>
      <c r="K7" s="53"/>
      <c r="L7" s="53"/>
      <c r="M7" s="53" t="s">
        <v>26</v>
      </c>
    </row>
    <row r="8" spans="1:13" ht="16.8">
      <c r="A8" s="53"/>
      <c r="B8" s="53"/>
      <c r="C8" s="53"/>
      <c r="D8" s="53"/>
      <c r="E8" s="53"/>
      <c r="F8" s="53"/>
      <c r="G8" s="53" t="s">
        <v>27</v>
      </c>
      <c r="H8" s="53"/>
      <c r="I8" s="53"/>
      <c r="J8" s="53" t="s">
        <v>28</v>
      </c>
      <c r="K8" s="53"/>
      <c r="L8" s="53"/>
      <c r="M8" s="53"/>
    </row>
    <row r="9" spans="1:13" ht="16.8">
      <c r="A9" s="53"/>
      <c r="B9" s="53"/>
      <c r="C9" s="53"/>
      <c r="D9" s="53"/>
      <c r="E9" s="53"/>
      <c r="F9" s="53"/>
      <c r="G9" s="50" t="s">
        <v>29</v>
      </c>
      <c r="H9" s="27" t="s">
        <v>30</v>
      </c>
      <c r="I9" s="23" t="s">
        <v>31</v>
      </c>
      <c r="J9" s="23" t="s">
        <v>29</v>
      </c>
      <c r="K9" s="27" t="s">
        <v>30</v>
      </c>
      <c r="L9" s="23" t="s">
        <v>31</v>
      </c>
      <c r="M9" s="53"/>
    </row>
    <row r="10" spans="1:13" ht="16.8">
      <c r="A10" s="55" t="s">
        <v>35</v>
      </c>
      <c r="B10" s="56"/>
      <c r="C10" s="56"/>
      <c r="D10" s="56"/>
      <c r="E10" s="56"/>
      <c r="F10" s="56"/>
      <c r="G10" s="56"/>
      <c r="H10" s="56"/>
      <c r="I10" s="56"/>
      <c r="J10" s="57"/>
      <c r="K10" s="57"/>
      <c r="L10" s="57"/>
      <c r="M10" s="58"/>
    </row>
    <row r="11" spans="1:13" ht="33.6">
      <c r="A11" s="35" t="s">
        <v>37</v>
      </c>
      <c r="B11" s="35" t="s">
        <v>108</v>
      </c>
      <c r="C11" s="35" t="s">
        <v>33</v>
      </c>
      <c r="D11" s="35" t="s">
        <v>33</v>
      </c>
      <c r="E11" s="35" t="s">
        <v>109</v>
      </c>
      <c r="F11" s="35" t="s">
        <v>110</v>
      </c>
      <c r="G11" s="48" t="s">
        <v>32</v>
      </c>
      <c r="H11" s="36" t="s">
        <v>729</v>
      </c>
      <c r="I11" s="35" t="s">
        <v>107</v>
      </c>
      <c r="J11" s="41"/>
      <c r="K11" s="40"/>
      <c r="L11" s="40"/>
      <c r="M11" s="40"/>
    </row>
    <row r="12" spans="1:13" ht="33.6">
      <c r="A12" s="35" t="s">
        <v>38</v>
      </c>
      <c r="B12" s="35" t="s">
        <v>111</v>
      </c>
      <c r="C12" s="35" t="s">
        <v>33</v>
      </c>
      <c r="D12" s="35" t="s">
        <v>33</v>
      </c>
      <c r="E12" s="35" t="s">
        <v>112</v>
      </c>
      <c r="F12" s="35" t="s">
        <v>113</v>
      </c>
      <c r="G12" s="48" t="s">
        <v>32</v>
      </c>
      <c r="H12" s="36" t="s">
        <v>729</v>
      </c>
      <c r="I12" s="35" t="s">
        <v>107</v>
      </c>
      <c r="J12" s="41"/>
      <c r="K12" s="40"/>
      <c r="L12" s="40"/>
      <c r="M12" s="40"/>
    </row>
    <row r="13" spans="1:13" ht="33.6">
      <c r="A13" s="35" t="s">
        <v>39</v>
      </c>
      <c r="B13" s="35" t="s">
        <v>114</v>
      </c>
      <c r="C13" s="35" t="s">
        <v>33</v>
      </c>
      <c r="D13" s="35" t="s">
        <v>115</v>
      </c>
      <c r="E13" s="35" t="s">
        <v>116</v>
      </c>
      <c r="F13" s="35" t="s">
        <v>117</v>
      </c>
      <c r="G13" s="48" t="s">
        <v>32</v>
      </c>
      <c r="H13" s="36" t="s">
        <v>729</v>
      </c>
      <c r="I13" s="35" t="s">
        <v>107</v>
      </c>
      <c r="J13" s="41"/>
      <c r="K13" s="40"/>
      <c r="L13" s="40"/>
      <c r="M13" s="40"/>
    </row>
    <row r="14" spans="1:13" ht="33.6">
      <c r="A14" s="35" t="s">
        <v>40</v>
      </c>
      <c r="B14" s="35" t="s">
        <v>118</v>
      </c>
      <c r="C14" s="35" t="s">
        <v>33</v>
      </c>
      <c r="D14" s="35" t="s">
        <v>119</v>
      </c>
      <c r="E14" s="35" t="s">
        <v>120</v>
      </c>
      <c r="F14" s="35" t="s">
        <v>121</v>
      </c>
      <c r="G14" s="48" t="s">
        <v>32</v>
      </c>
      <c r="H14" s="36" t="s">
        <v>729</v>
      </c>
      <c r="I14" s="35" t="s">
        <v>107</v>
      </c>
      <c r="J14" s="41"/>
      <c r="K14" s="40"/>
      <c r="L14" s="40"/>
      <c r="M14" s="40"/>
    </row>
    <row r="15" spans="1:13" ht="33.6">
      <c r="A15" s="35" t="s">
        <v>41</v>
      </c>
      <c r="B15" s="35" t="s">
        <v>122</v>
      </c>
      <c r="C15" s="35" t="s">
        <v>33</v>
      </c>
      <c r="D15" s="35" t="s">
        <v>33</v>
      </c>
      <c r="E15" s="35" t="s">
        <v>123</v>
      </c>
      <c r="F15" s="35" t="s">
        <v>124</v>
      </c>
      <c r="G15" s="48" t="s">
        <v>32</v>
      </c>
      <c r="H15" s="36" t="s">
        <v>729</v>
      </c>
      <c r="I15" s="35" t="s">
        <v>107</v>
      </c>
      <c r="J15" s="41"/>
      <c r="K15" s="40"/>
      <c r="L15" s="40"/>
      <c r="M15" s="40"/>
    </row>
    <row r="16" spans="1:13" ht="33.6">
      <c r="A16" s="35" t="s">
        <v>42</v>
      </c>
      <c r="B16" s="35" t="s">
        <v>125</v>
      </c>
      <c r="C16" s="35" t="s">
        <v>33</v>
      </c>
      <c r="D16" s="35" t="s">
        <v>33</v>
      </c>
      <c r="E16" s="35" t="s">
        <v>126</v>
      </c>
      <c r="F16" s="35" t="s">
        <v>124</v>
      </c>
      <c r="G16" s="48" t="s">
        <v>32</v>
      </c>
      <c r="H16" s="36" t="s">
        <v>729</v>
      </c>
      <c r="I16" s="35" t="s">
        <v>107</v>
      </c>
      <c r="J16" s="41"/>
      <c r="K16" s="40"/>
      <c r="L16" s="40"/>
      <c r="M16" s="40"/>
    </row>
    <row r="17" spans="1:13" ht="33.6">
      <c r="A17" s="35" t="s">
        <v>43</v>
      </c>
      <c r="B17" s="35" t="s">
        <v>127</v>
      </c>
      <c r="C17" s="35" t="s">
        <v>33</v>
      </c>
      <c r="D17" s="35" t="s">
        <v>33</v>
      </c>
      <c r="E17" s="35" t="s">
        <v>128</v>
      </c>
      <c r="F17" s="35" t="s">
        <v>124</v>
      </c>
      <c r="G17" s="48" t="s">
        <v>32</v>
      </c>
      <c r="H17" s="36" t="s">
        <v>729</v>
      </c>
      <c r="I17" s="35" t="s">
        <v>107</v>
      </c>
      <c r="J17" s="41"/>
      <c r="K17" s="40"/>
      <c r="L17" s="40"/>
      <c r="M17" s="40"/>
    </row>
    <row r="18" spans="1:13" ht="33.6">
      <c r="A18" s="35" t="s">
        <v>44</v>
      </c>
      <c r="B18" s="35" t="s">
        <v>129</v>
      </c>
      <c r="C18" s="35" t="s">
        <v>33</v>
      </c>
      <c r="D18" s="35" t="s">
        <v>33</v>
      </c>
      <c r="E18" s="35" t="s">
        <v>130</v>
      </c>
      <c r="F18" s="35" t="s">
        <v>124</v>
      </c>
      <c r="G18" s="48" t="s">
        <v>32</v>
      </c>
      <c r="H18" s="36" t="s">
        <v>729</v>
      </c>
      <c r="I18" s="35" t="s">
        <v>107</v>
      </c>
      <c r="J18" s="41"/>
      <c r="K18" s="40"/>
      <c r="L18" s="40"/>
      <c r="M18" s="40"/>
    </row>
    <row r="19" spans="1:13" ht="33.6">
      <c r="A19" s="35" t="s">
        <v>45</v>
      </c>
      <c r="B19" s="35" t="s">
        <v>131</v>
      </c>
      <c r="C19" s="35" t="s">
        <v>33</v>
      </c>
      <c r="D19" s="35" t="s">
        <v>33</v>
      </c>
      <c r="E19" s="35" t="s">
        <v>132</v>
      </c>
      <c r="F19" s="35" t="s">
        <v>133</v>
      </c>
      <c r="G19" s="48" t="s">
        <v>32</v>
      </c>
      <c r="H19" s="36" t="s">
        <v>729</v>
      </c>
      <c r="I19" s="35" t="s">
        <v>107</v>
      </c>
      <c r="J19" s="41"/>
      <c r="K19" s="40"/>
      <c r="L19" s="40"/>
      <c r="M19" s="40"/>
    </row>
    <row r="20" spans="1:13" ht="50.4">
      <c r="A20" s="35" t="s">
        <v>46</v>
      </c>
      <c r="B20" s="35" t="s">
        <v>134</v>
      </c>
      <c r="C20" s="35" t="s">
        <v>33</v>
      </c>
      <c r="D20" s="35" t="s">
        <v>33</v>
      </c>
      <c r="E20" s="35" t="s">
        <v>135</v>
      </c>
      <c r="F20" s="35" t="s">
        <v>136</v>
      </c>
      <c r="G20" s="48" t="s">
        <v>32</v>
      </c>
      <c r="H20" s="36" t="s">
        <v>729</v>
      </c>
      <c r="I20" s="35" t="s">
        <v>107</v>
      </c>
      <c r="J20" s="41"/>
      <c r="K20" s="40"/>
      <c r="L20" s="40"/>
      <c r="M20" s="40"/>
    </row>
    <row r="21" spans="1:13" ht="33.6">
      <c r="A21" s="35" t="s">
        <v>47</v>
      </c>
      <c r="B21" s="35" t="s">
        <v>137</v>
      </c>
      <c r="C21" s="35" t="s">
        <v>33</v>
      </c>
      <c r="D21" s="35" t="s">
        <v>33</v>
      </c>
      <c r="E21" s="35" t="s">
        <v>138</v>
      </c>
      <c r="F21" s="35" t="s">
        <v>139</v>
      </c>
      <c r="G21" s="48" t="s">
        <v>32</v>
      </c>
      <c r="H21" s="36" t="s">
        <v>729</v>
      </c>
      <c r="I21" s="35" t="s">
        <v>107</v>
      </c>
      <c r="J21" s="41"/>
      <c r="K21" s="40"/>
      <c r="L21" s="40"/>
      <c r="M21" s="40"/>
    </row>
    <row r="22" spans="1:13" ht="33.6">
      <c r="A22" s="35" t="s">
        <v>48</v>
      </c>
      <c r="B22" s="35" t="s">
        <v>140</v>
      </c>
      <c r="C22" s="35" t="s">
        <v>33</v>
      </c>
      <c r="D22" s="35" t="s">
        <v>33</v>
      </c>
      <c r="E22" s="35" t="s">
        <v>141</v>
      </c>
      <c r="F22" s="35" t="s">
        <v>139</v>
      </c>
      <c r="G22" s="48" t="s">
        <v>32</v>
      </c>
      <c r="H22" s="36" t="s">
        <v>729</v>
      </c>
      <c r="I22" s="35" t="s">
        <v>107</v>
      </c>
      <c r="J22" s="41"/>
      <c r="K22" s="40"/>
      <c r="L22" s="40"/>
      <c r="M22" s="40"/>
    </row>
    <row r="23" spans="1:13" ht="33.6">
      <c r="A23" s="35" t="s">
        <v>142</v>
      </c>
      <c r="B23" s="35" t="s">
        <v>143</v>
      </c>
      <c r="C23" s="35" t="s">
        <v>33</v>
      </c>
      <c r="D23" s="35" t="s">
        <v>144</v>
      </c>
      <c r="E23" s="35" t="s">
        <v>145</v>
      </c>
      <c r="F23" s="35" t="s">
        <v>146</v>
      </c>
      <c r="G23" s="48" t="s">
        <v>32</v>
      </c>
      <c r="H23" s="36" t="s">
        <v>729</v>
      </c>
      <c r="I23" s="35" t="s">
        <v>107</v>
      </c>
      <c r="J23" s="41"/>
      <c r="K23" s="40"/>
      <c r="L23" s="40"/>
      <c r="M23" s="40"/>
    </row>
    <row r="24" spans="1:13" ht="33.6">
      <c r="A24" s="35" t="s">
        <v>147</v>
      </c>
      <c r="B24" s="35" t="s">
        <v>148</v>
      </c>
      <c r="C24" s="35" t="s">
        <v>33</v>
      </c>
      <c r="D24" s="35" t="s">
        <v>33</v>
      </c>
      <c r="E24" s="35" t="s">
        <v>149</v>
      </c>
      <c r="F24" s="35" t="s">
        <v>150</v>
      </c>
      <c r="G24" s="48" t="s">
        <v>32</v>
      </c>
      <c r="H24" s="36" t="s">
        <v>729</v>
      </c>
      <c r="I24" s="35" t="s">
        <v>107</v>
      </c>
      <c r="J24" s="41"/>
      <c r="K24" s="40"/>
      <c r="L24" s="40"/>
      <c r="M24" s="40"/>
    </row>
    <row r="25" spans="1:13" ht="50.4">
      <c r="A25" s="35" t="s">
        <v>151</v>
      </c>
      <c r="B25" s="35" t="s">
        <v>152</v>
      </c>
      <c r="C25" s="35" t="s">
        <v>33</v>
      </c>
      <c r="D25" s="35" t="s">
        <v>153</v>
      </c>
      <c r="E25" s="35" t="s">
        <v>154</v>
      </c>
      <c r="F25" s="35" t="s">
        <v>155</v>
      </c>
      <c r="G25" s="48" t="s">
        <v>32</v>
      </c>
      <c r="H25" s="36" t="s">
        <v>729</v>
      </c>
      <c r="I25" s="35" t="s">
        <v>107</v>
      </c>
      <c r="J25" s="41"/>
      <c r="K25" s="40"/>
      <c r="L25" s="40"/>
      <c r="M25" s="40"/>
    </row>
    <row r="26" spans="1:13" ht="33.6">
      <c r="A26" s="35" t="s">
        <v>156</v>
      </c>
      <c r="B26" s="35" t="s">
        <v>157</v>
      </c>
      <c r="C26" s="35" t="s">
        <v>33</v>
      </c>
      <c r="D26" s="35" t="s">
        <v>158</v>
      </c>
      <c r="E26" s="35" t="s">
        <v>159</v>
      </c>
      <c r="F26" s="35" t="s">
        <v>160</v>
      </c>
      <c r="G26" s="48" t="s">
        <v>32</v>
      </c>
      <c r="H26" s="36" t="s">
        <v>729</v>
      </c>
      <c r="I26" s="35" t="s">
        <v>107</v>
      </c>
      <c r="J26" s="41"/>
      <c r="K26" s="40"/>
      <c r="L26" s="40"/>
      <c r="M26" s="40"/>
    </row>
    <row r="27" spans="1:13" ht="33.6">
      <c r="A27" s="35" t="s">
        <v>161</v>
      </c>
      <c r="B27" s="35" t="s">
        <v>162</v>
      </c>
      <c r="C27" s="35" t="s">
        <v>33</v>
      </c>
      <c r="D27" s="35" t="s">
        <v>163</v>
      </c>
      <c r="E27" s="35" t="s">
        <v>164</v>
      </c>
      <c r="F27" s="35" t="s">
        <v>165</v>
      </c>
      <c r="G27" s="48" t="s">
        <v>32</v>
      </c>
      <c r="H27" s="36" t="s">
        <v>729</v>
      </c>
      <c r="I27" s="35" t="s">
        <v>107</v>
      </c>
      <c r="J27" s="41"/>
      <c r="K27" s="40"/>
      <c r="L27" s="40"/>
      <c r="M27" s="40"/>
    </row>
    <row r="28" spans="1:13" ht="33.6">
      <c r="A28" s="35" t="s">
        <v>166</v>
      </c>
      <c r="B28" s="35" t="s">
        <v>167</v>
      </c>
      <c r="C28" s="35" t="s">
        <v>33</v>
      </c>
      <c r="D28" s="35" t="s">
        <v>168</v>
      </c>
      <c r="E28" s="35" t="s">
        <v>169</v>
      </c>
      <c r="F28" s="35" t="s">
        <v>170</v>
      </c>
      <c r="G28" s="48" t="s">
        <v>32</v>
      </c>
      <c r="H28" s="36" t="s">
        <v>729</v>
      </c>
      <c r="I28" s="35" t="s">
        <v>107</v>
      </c>
      <c r="J28" s="41"/>
      <c r="K28" s="40"/>
      <c r="L28" s="40"/>
      <c r="M28" s="40"/>
    </row>
    <row r="29" spans="1:13" ht="33.6">
      <c r="A29" s="35" t="s">
        <v>171</v>
      </c>
      <c r="B29" s="35" t="s">
        <v>172</v>
      </c>
      <c r="C29" s="35" t="s">
        <v>33</v>
      </c>
      <c r="D29" s="35" t="s">
        <v>173</v>
      </c>
      <c r="E29" s="35" t="s">
        <v>174</v>
      </c>
      <c r="F29" s="35" t="s">
        <v>175</v>
      </c>
      <c r="G29" s="48" t="s">
        <v>32</v>
      </c>
      <c r="H29" s="36" t="s">
        <v>729</v>
      </c>
      <c r="I29" s="35" t="s">
        <v>107</v>
      </c>
      <c r="J29" s="41"/>
      <c r="K29" s="40"/>
      <c r="L29" s="40"/>
      <c r="M29" s="40"/>
    </row>
    <row r="30" spans="1:13" ht="33.6">
      <c r="A30" s="35" t="s">
        <v>176</v>
      </c>
      <c r="B30" s="35" t="s">
        <v>177</v>
      </c>
      <c r="C30" s="35" t="s">
        <v>33</v>
      </c>
      <c r="D30" s="35" t="s">
        <v>178</v>
      </c>
      <c r="E30" s="35" t="s">
        <v>179</v>
      </c>
      <c r="F30" s="35" t="s">
        <v>180</v>
      </c>
      <c r="G30" s="48" t="s">
        <v>32</v>
      </c>
      <c r="H30" s="36" t="s">
        <v>729</v>
      </c>
      <c r="I30" s="35" t="s">
        <v>107</v>
      </c>
      <c r="J30" s="41"/>
      <c r="K30" s="40"/>
      <c r="L30" s="40"/>
      <c r="M30" s="40"/>
    </row>
    <row r="31" spans="1:13" ht="33.6">
      <c r="A31" s="35" t="s">
        <v>181</v>
      </c>
      <c r="B31" s="35" t="s">
        <v>182</v>
      </c>
      <c r="C31" s="35" t="s">
        <v>33</v>
      </c>
      <c r="D31" s="35" t="s">
        <v>183</v>
      </c>
      <c r="E31" s="35" t="s">
        <v>184</v>
      </c>
      <c r="F31" s="35" t="s">
        <v>185</v>
      </c>
      <c r="G31" s="48" t="s">
        <v>32</v>
      </c>
      <c r="H31" s="36" t="s">
        <v>729</v>
      </c>
      <c r="I31" s="35" t="s">
        <v>107</v>
      </c>
      <c r="J31" s="41"/>
      <c r="K31" s="40"/>
      <c r="L31" s="40"/>
      <c r="M31" s="40"/>
    </row>
    <row r="32" spans="1:13" ht="33.6">
      <c r="A32" s="35" t="s">
        <v>186</v>
      </c>
      <c r="B32" s="35" t="s">
        <v>187</v>
      </c>
      <c r="C32" s="35" t="s">
        <v>33</v>
      </c>
      <c r="D32" s="35" t="s">
        <v>188</v>
      </c>
      <c r="E32" s="35" t="s">
        <v>189</v>
      </c>
      <c r="F32" s="35" t="s">
        <v>190</v>
      </c>
      <c r="G32" s="48" t="s">
        <v>32</v>
      </c>
      <c r="H32" s="36" t="s">
        <v>729</v>
      </c>
      <c r="I32" s="35" t="s">
        <v>107</v>
      </c>
      <c r="J32" s="41"/>
      <c r="K32" s="40"/>
      <c r="L32" s="40"/>
      <c r="M32" s="40"/>
    </row>
    <row r="33" spans="1:13" ht="33.6">
      <c r="A33" s="35" t="s">
        <v>191</v>
      </c>
      <c r="B33" s="35" t="s">
        <v>192</v>
      </c>
      <c r="C33" s="35" t="s">
        <v>33</v>
      </c>
      <c r="D33" s="35" t="s">
        <v>193</v>
      </c>
      <c r="E33" s="35" t="s">
        <v>194</v>
      </c>
      <c r="F33" s="35" t="s">
        <v>195</v>
      </c>
      <c r="G33" s="48" t="s">
        <v>32</v>
      </c>
      <c r="H33" s="36" t="s">
        <v>729</v>
      </c>
      <c r="I33" s="35" t="s">
        <v>107</v>
      </c>
      <c r="J33" s="41"/>
      <c r="K33" s="40"/>
      <c r="L33" s="40"/>
      <c r="M33" s="40"/>
    </row>
    <row r="34" spans="1:13" ht="33.6">
      <c r="A34" s="35" t="s">
        <v>196</v>
      </c>
      <c r="B34" s="35" t="s">
        <v>197</v>
      </c>
      <c r="C34" s="35" t="s">
        <v>33</v>
      </c>
      <c r="D34" s="35" t="s">
        <v>193</v>
      </c>
      <c r="E34" s="35" t="s">
        <v>198</v>
      </c>
      <c r="F34" s="35" t="s">
        <v>195</v>
      </c>
      <c r="G34" s="48" t="s">
        <v>32</v>
      </c>
      <c r="H34" s="36" t="s">
        <v>729</v>
      </c>
      <c r="I34" s="35" t="s">
        <v>107</v>
      </c>
      <c r="J34" s="41"/>
      <c r="K34" s="40"/>
      <c r="L34" s="40"/>
      <c r="M34" s="40"/>
    </row>
    <row r="35" spans="1:13" ht="33.6">
      <c r="A35" s="35" t="s">
        <v>199</v>
      </c>
      <c r="B35" s="35" t="s">
        <v>200</v>
      </c>
      <c r="C35" s="35" t="s">
        <v>33</v>
      </c>
      <c r="D35" s="35" t="s">
        <v>193</v>
      </c>
      <c r="E35" s="35" t="s">
        <v>201</v>
      </c>
      <c r="F35" s="35" t="s">
        <v>195</v>
      </c>
      <c r="G35" s="48" t="s">
        <v>32</v>
      </c>
      <c r="H35" s="36" t="s">
        <v>729</v>
      </c>
      <c r="I35" s="35" t="s">
        <v>107</v>
      </c>
      <c r="J35" s="41"/>
      <c r="K35" s="40"/>
      <c r="L35" s="40"/>
      <c r="M35" s="40"/>
    </row>
    <row r="36" spans="1:13" ht="33.6">
      <c r="A36" s="35" t="s">
        <v>202</v>
      </c>
      <c r="B36" s="35" t="s">
        <v>203</v>
      </c>
      <c r="C36" s="35" t="s">
        <v>33</v>
      </c>
      <c r="D36" s="35" t="s">
        <v>193</v>
      </c>
      <c r="E36" s="35" t="s">
        <v>204</v>
      </c>
      <c r="F36" s="35" t="s">
        <v>195</v>
      </c>
      <c r="G36" s="48" t="s">
        <v>32</v>
      </c>
      <c r="H36" s="36" t="s">
        <v>729</v>
      </c>
      <c r="I36" s="35" t="s">
        <v>107</v>
      </c>
      <c r="J36" s="41"/>
      <c r="K36" s="40"/>
      <c r="L36" s="40"/>
      <c r="M36" s="40"/>
    </row>
    <row r="37" spans="1:13" ht="50.4">
      <c r="A37" s="35" t="s">
        <v>205</v>
      </c>
      <c r="B37" s="35" t="s">
        <v>206</v>
      </c>
      <c r="C37" s="35" t="s">
        <v>33</v>
      </c>
      <c r="D37" s="35" t="s">
        <v>193</v>
      </c>
      <c r="E37" s="35" t="s">
        <v>207</v>
      </c>
      <c r="F37" s="35" t="s">
        <v>208</v>
      </c>
      <c r="G37" s="48" t="s">
        <v>32</v>
      </c>
      <c r="H37" s="36" t="s">
        <v>729</v>
      </c>
      <c r="I37" s="35" t="s">
        <v>107</v>
      </c>
      <c r="J37" s="41"/>
      <c r="K37" s="40"/>
      <c r="L37" s="40"/>
      <c r="M37" s="40"/>
    </row>
    <row r="38" spans="1:13" ht="50.4">
      <c r="A38" s="35" t="s">
        <v>209</v>
      </c>
      <c r="B38" s="35" t="s">
        <v>210</v>
      </c>
      <c r="C38" s="35" t="s">
        <v>33</v>
      </c>
      <c r="D38" s="35" t="s">
        <v>193</v>
      </c>
      <c r="E38" s="35" t="s">
        <v>211</v>
      </c>
      <c r="F38" s="35" t="s">
        <v>139</v>
      </c>
      <c r="G38" s="48" t="s">
        <v>32</v>
      </c>
      <c r="H38" s="36" t="s">
        <v>729</v>
      </c>
      <c r="I38" s="35" t="s">
        <v>107</v>
      </c>
      <c r="J38" s="41"/>
      <c r="K38" s="40"/>
      <c r="L38" s="40"/>
      <c r="M38" s="40"/>
    </row>
    <row r="39" spans="1:13" ht="33.6">
      <c r="A39" s="35" t="s">
        <v>212</v>
      </c>
      <c r="B39" s="35" t="s">
        <v>213</v>
      </c>
      <c r="C39" s="35" t="s">
        <v>33</v>
      </c>
      <c r="D39" s="35" t="s">
        <v>214</v>
      </c>
      <c r="E39" s="35" t="s">
        <v>215</v>
      </c>
      <c r="F39" s="35" t="s">
        <v>110</v>
      </c>
      <c r="G39" s="48" t="s">
        <v>32</v>
      </c>
      <c r="H39" s="36" t="s">
        <v>729</v>
      </c>
      <c r="I39" s="35" t="s">
        <v>107</v>
      </c>
      <c r="J39" s="41"/>
      <c r="K39" s="40"/>
      <c r="L39" s="40"/>
      <c r="M39" s="40"/>
    </row>
    <row r="40" spans="1:13" ht="33.6">
      <c r="A40" s="35" t="s">
        <v>216</v>
      </c>
      <c r="B40" s="35" t="s">
        <v>217</v>
      </c>
      <c r="C40" s="35" t="s">
        <v>33</v>
      </c>
      <c r="D40" s="35" t="s">
        <v>193</v>
      </c>
      <c r="E40" s="35" t="s">
        <v>218</v>
      </c>
      <c r="F40" s="35" t="s">
        <v>117</v>
      </c>
      <c r="G40" s="48" t="s">
        <v>32</v>
      </c>
      <c r="H40" s="36" t="s">
        <v>729</v>
      </c>
      <c r="I40" s="35" t="s">
        <v>107</v>
      </c>
      <c r="J40" s="41"/>
      <c r="K40" s="40"/>
      <c r="L40" s="40"/>
      <c r="M40" s="40"/>
    </row>
    <row r="41" spans="1:13" ht="33.6">
      <c r="A41" s="35" t="s">
        <v>219</v>
      </c>
      <c r="B41" s="35" t="s">
        <v>220</v>
      </c>
      <c r="C41" s="35" t="s">
        <v>33</v>
      </c>
      <c r="D41" s="35" t="s">
        <v>193</v>
      </c>
      <c r="E41" s="35" t="s">
        <v>221</v>
      </c>
      <c r="F41" s="35" t="s">
        <v>117</v>
      </c>
      <c r="G41" s="48" t="s">
        <v>32</v>
      </c>
      <c r="H41" s="36" t="s">
        <v>729</v>
      </c>
      <c r="I41" s="35" t="s">
        <v>107</v>
      </c>
      <c r="J41" s="41"/>
      <c r="K41" s="40"/>
      <c r="L41" s="40"/>
      <c r="M41" s="40"/>
    </row>
    <row r="42" spans="1:13" ht="33.6">
      <c r="A42" s="35" t="s">
        <v>222</v>
      </c>
      <c r="B42" s="35" t="s">
        <v>223</v>
      </c>
      <c r="C42" s="35" t="s">
        <v>33</v>
      </c>
      <c r="D42" s="35" t="s">
        <v>224</v>
      </c>
      <c r="E42" s="35" t="s">
        <v>225</v>
      </c>
      <c r="F42" s="35" t="s">
        <v>195</v>
      </c>
      <c r="G42" s="48" t="s">
        <v>32</v>
      </c>
      <c r="H42" s="36" t="s">
        <v>729</v>
      </c>
      <c r="I42" s="35" t="s">
        <v>107</v>
      </c>
      <c r="J42" s="41"/>
      <c r="K42" s="40"/>
      <c r="L42" s="40"/>
      <c r="M42" s="40"/>
    </row>
    <row r="43" spans="1:13" ht="33.6">
      <c r="A43" s="35" t="s">
        <v>226</v>
      </c>
      <c r="B43" s="35" t="s">
        <v>227</v>
      </c>
      <c r="C43" s="35" t="s">
        <v>33</v>
      </c>
      <c r="D43" s="35" t="s">
        <v>224</v>
      </c>
      <c r="E43" s="35" t="s">
        <v>228</v>
      </c>
      <c r="F43" s="35" t="s">
        <v>229</v>
      </c>
      <c r="G43" s="48" t="s">
        <v>32</v>
      </c>
      <c r="H43" s="36" t="s">
        <v>729</v>
      </c>
      <c r="I43" s="35" t="s">
        <v>107</v>
      </c>
      <c r="J43" s="41"/>
      <c r="K43" s="40"/>
      <c r="L43" s="40"/>
      <c r="M43" s="40"/>
    </row>
    <row r="44" spans="1:13" ht="33.6">
      <c r="A44" s="35" t="s">
        <v>230</v>
      </c>
      <c r="B44" s="35" t="s">
        <v>231</v>
      </c>
      <c r="C44" s="35" t="s">
        <v>33</v>
      </c>
      <c r="D44" s="35" t="s">
        <v>224</v>
      </c>
      <c r="E44" s="35" t="s">
        <v>232</v>
      </c>
      <c r="F44" s="35" t="s">
        <v>233</v>
      </c>
      <c r="G44" s="48" t="s">
        <v>32</v>
      </c>
      <c r="H44" s="36" t="s">
        <v>729</v>
      </c>
      <c r="I44" s="35" t="s">
        <v>107</v>
      </c>
      <c r="J44" s="41"/>
      <c r="K44" s="40"/>
      <c r="L44" s="40"/>
      <c r="M44" s="40"/>
    </row>
    <row r="45" spans="1:13" ht="33.6">
      <c r="A45" s="35" t="s">
        <v>234</v>
      </c>
      <c r="B45" s="35" t="s">
        <v>235</v>
      </c>
      <c r="C45" s="35" t="s">
        <v>33</v>
      </c>
      <c r="D45" s="35" t="s">
        <v>236</v>
      </c>
      <c r="E45" s="35" t="s">
        <v>237</v>
      </c>
      <c r="F45" s="35" t="s">
        <v>117</v>
      </c>
      <c r="G45" s="48" t="s">
        <v>32</v>
      </c>
      <c r="H45" s="36" t="s">
        <v>729</v>
      </c>
      <c r="I45" s="35" t="s">
        <v>107</v>
      </c>
      <c r="J45" s="41"/>
      <c r="K45" s="40"/>
      <c r="L45" s="40"/>
      <c r="M45" s="40"/>
    </row>
    <row r="46" spans="1:13" ht="50.4">
      <c r="A46" s="35" t="s">
        <v>238</v>
      </c>
      <c r="B46" s="35" t="s">
        <v>239</v>
      </c>
      <c r="C46" s="35" t="s">
        <v>33</v>
      </c>
      <c r="D46" s="35" t="s">
        <v>240</v>
      </c>
      <c r="E46" s="35" t="s">
        <v>241</v>
      </c>
      <c r="F46" s="35" t="s">
        <v>242</v>
      </c>
      <c r="G46" s="48" t="s">
        <v>32</v>
      </c>
      <c r="H46" s="36" t="s">
        <v>729</v>
      </c>
      <c r="I46" s="35" t="s">
        <v>107</v>
      </c>
      <c r="J46" s="41"/>
      <c r="K46" s="40"/>
      <c r="L46" s="40"/>
      <c r="M46" s="40"/>
    </row>
    <row r="47" spans="1:13" ht="33.6">
      <c r="A47" s="35" t="s">
        <v>243</v>
      </c>
      <c r="B47" s="35" t="s">
        <v>244</v>
      </c>
      <c r="C47" s="35" t="s">
        <v>33</v>
      </c>
      <c r="D47" s="35" t="s">
        <v>245</v>
      </c>
      <c r="E47" s="35" t="s">
        <v>246</v>
      </c>
      <c r="F47" s="35" t="s">
        <v>117</v>
      </c>
      <c r="G47" s="48" t="s">
        <v>32</v>
      </c>
      <c r="H47" s="36" t="s">
        <v>729</v>
      </c>
      <c r="I47" s="35" t="s">
        <v>107</v>
      </c>
      <c r="J47" s="41"/>
      <c r="K47" s="40"/>
      <c r="L47" s="40"/>
      <c r="M47" s="40"/>
    </row>
    <row r="48" spans="1:13" ht="50.4">
      <c r="A48" s="35" t="s">
        <v>247</v>
      </c>
      <c r="B48" s="35" t="s">
        <v>248</v>
      </c>
      <c r="C48" s="35" t="s">
        <v>33</v>
      </c>
      <c r="D48" s="35" t="s">
        <v>249</v>
      </c>
      <c r="E48" s="35" t="s">
        <v>250</v>
      </c>
      <c r="F48" s="35" t="s">
        <v>251</v>
      </c>
      <c r="G48" s="48" t="s">
        <v>32</v>
      </c>
      <c r="H48" s="36" t="s">
        <v>729</v>
      </c>
      <c r="I48" s="35" t="s">
        <v>107</v>
      </c>
      <c r="J48" s="41"/>
      <c r="K48" s="40"/>
      <c r="L48" s="40"/>
      <c r="M48" s="40"/>
    </row>
    <row r="49" spans="1:13" ht="50.4">
      <c r="A49" s="35" t="s">
        <v>252</v>
      </c>
      <c r="B49" s="35" t="s">
        <v>253</v>
      </c>
      <c r="C49" s="35" t="s">
        <v>33</v>
      </c>
      <c r="D49" s="35" t="s">
        <v>254</v>
      </c>
      <c r="E49" s="35" t="s">
        <v>255</v>
      </c>
      <c r="F49" s="35" t="s">
        <v>117</v>
      </c>
      <c r="G49" s="48" t="s">
        <v>32</v>
      </c>
      <c r="H49" s="36" t="s">
        <v>729</v>
      </c>
      <c r="I49" s="35" t="s">
        <v>107</v>
      </c>
      <c r="J49" s="41"/>
      <c r="K49" s="40"/>
      <c r="L49" s="40"/>
      <c r="M49" s="40"/>
    </row>
    <row r="50" spans="1:13" ht="50.4">
      <c r="A50" s="35" t="s">
        <v>256</v>
      </c>
      <c r="B50" s="35" t="s">
        <v>257</v>
      </c>
      <c r="C50" s="35" t="s">
        <v>33</v>
      </c>
      <c r="D50" s="35" t="s">
        <v>258</v>
      </c>
      <c r="E50" s="35" t="s">
        <v>259</v>
      </c>
      <c r="F50" s="35" t="s">
        <v>260</v>
      </c>
      <c r="G50" s="48" t="s">
        <v>32</v>
      </c>
      <c r="H50" s="36" t="s">
        <v>729</v>
      </c>
      <c r="I50" s="35" t="s">
        <v>107</v>
      </c>
      <c r="J50" s="41"/>
      <c r="K50" s="40"/>
      <c r="L50" s="40"/>
      <c r="M50" s="40"/>
    </row>
    <row r="51" spans="1:13" ht="16.8">
      <c r="A51" s="54" t="s">
        <v>36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spans="1:13" ht="67.2">
      <c r="A52" s="35" t="s">
        <v>49</v>
      </c>
      <c r="B52" s="35" t="s">
        <v>261</v>
      </c>
      <c r="C52" s="35" t="s">
        <v>262</v>
      </c>
      <c r="D52" s="35" t="s">
        <v>263</v>
      </c>
      <c r="E52" s="35" t="s">
        <v>264</v>
      </c>
      <c r="F52" s="35" t="s">
        <v>265</v>
      </c>
      <c r="G52" s="48" t="s">
        <v>32</v>
      </c>
      <c r="H52" s="36" t="s">
        <v>729</v>
      </c>
      <c r="I52" s="35" t="s">
        <v>107</v>
      </c>
      <c r="J52" s="33"/>
      <c r="K52" s="31"/>
      <c r="L52" s="28"/>
      <c r="M52" s="30"/>
    </row>
    <row r="53" spans="1:13" ht="50.4">
      <c r="A53" s="35" t="s">
        <v>50</v>
      </c>
      <c r="B53" s="35" t="s">
        <v>266</v>
      </c>
      <c r="C53" s="35" t="s">
        <v>267</v>
      </c>
      <c r="D53" s="35" t="s">
        <v>268</v>
      </c>
      <c r="E53" s="35" t="s">
        <v>265</v>
      </c>
      <c r="F53" s="35" t="s">
        <v>269</v>
      </c>
      <c r="G53" s="48" t="s">
        <v>32</v>
      </c>
      <c r="H53" s="36" t="s">
        <v>729</v>
      </c>
      <c r="I53" s="35" t="s">
        <v>107</v>
      </c>
      <c r="J53" s="33"/>
      <c r="K53" s="31"/>
      <c r="L53" s="28"/>
      <c r="M53" s="30"/>
    </row>
    <row r="54" spans="1:13" ht="33.6">
      <c r="A54" s="35" t="s">
        <v>51</v>
      </c>
      <c r="B54" s="35" t="s">
        <v>270</v>
      </c>
      <c r="C54" s="35" t="s">
        <v>271</v>
      </c>
      <c r="D54" s="35" t="s">
        <v>272</v>
      </c>
      <c r="E54" s="35" t="s">
        <v>273</v>
      </c>
      <c r="F54" s="35" t="s">
        <v>274</v>
      </c>
      <c r="G54" s="48" t="s">
        <v>32</v>
      </c>
      <c r="H54" s="36" t="s">
        <v>729</v>
      </c>
      <c r="I54" s="35" t="s">
        <v>107</v>
      </c>
      <c r="J54" s="33"/>
      <c r="K54" s="31"/>
      <c r="L54" s="28"/>
      <c r="M54" s="30"/>
    </row>
    <row r="55" spans="1:13" ht="33.6">
      <c r="A55" s="35" t="s">
        <v>52</v>
      </c>
      <c r="B55" s="35" t="s">
        <v>275</v>
      </c>
      <c r="C55" s="35" t="s">
        <v>276</v>
      </c>
      <c r="D55" s="35" t="s">
        <v>277</v>
      </c>
      <c r="E55" s="35" t="s">
        <v>278</v>
      </c>
      <c r="F55" s="35" t="s">
        <v>274</v>
      </c>
      <c r="G55" s="48" t="s">
        <v>32</v>
      </c>
      <c r="H55" s="36" t="s">
        <v>729</v>
      </c>
      <c r="I55" s="35" t="s">
        <v>107</v>
      </c>
      <c r="J55" s="33"/>
      <c r="K55" s="31"/>
      <c r="L55" s="28"/>
      <c r="M55" s="30"/>
    </row>
    <row r="56" spans="1:13" ht="50.4">
      <c r="A56" s="35" t="s">
        <v>53</v>
      </c>
      <c r="B56" s="35" t="s">
        <v>279</v>
      </c>
      <c r="C56" s="35" t="s">
        <v>280</v>
      </c>
      <c r="D56" s="35" t="s">
        <v>268</v>
      </c>
      <c r="E56" s="35" t="s">
        <v>281</v>
      </c>
      <c r="F56" s="35" t="s">
        <v>274</v>
      </c>
      <c r="G56" s="48" t="s">
        <v>32</v>
      </c>
      <c r="H56" s="36" t="s">
        <v>729</v>
      </c>
      <c r="I56" s="35" t="s">
        <v>107</v>
      </c>
      <c r="J56" s="33"/>
      <c r="K56" s="31"/>
      <c r="L56" s="28"/>
      <c r="M56" s="30"/>
    </row>
    <row r="57" spans="1:13" ht="50.4">
      <c r="A57" s="35" t="s">
        <v>54</v>
      </c>
      <c r="B57" s="35" t="s">
        <v>282</v>
      </c>
      <c r="C57" s="35" t="s">
        <v>283</v>
      </c>
      <c r="D57" s="35" t="s">
        <v>284</v>
      </c>
      <c r="E57" s="35" t="s">
        <v>285</v>
      </c>
      <c r="F57" s="35" t="s">
        <v>286</v>
      </c>
      <c r="G57" s="48" t="s">
        <v>32</v>
      </c>
      <c r="H57" s="36" t="s">
        <v>729</v>
      </c>
      <c r="I57" s="35" t="s">
        <v>107</v>
      </c>
      <c r="J57" s="33"/>
      <c r="K57" s="32"/>
      <c r="L57" s="32"/>
      <c r="M57" s="32"/>
    </row>
    <row r="58" spans="1:13" ht="33.6">
      <c r="A58" s="35" t="s">
        <v>55</v>
      </c>
      <c r="B58" s="35" t="s">
        <v>287</v>
      </c>
      <c r="C58" s="35" t="s">
        <v>288</v>
      </c>
      <c r="D58" s="35" t="s">
        <v>289</v>
      </c>
      <c r="E58" s="35" t="s">
        <v>290</v>
      </c>
      <c r="F58" s="35" t="s">
        <v>291</v>
      </c>
      <c r="G58" s="48" t="s">
        <v>32</v>
      </c>
      <c r="H58" s="36" t="s">
        <v>729</v>
      </c>
      <c r="I58" s="35" t="s">
        <v>107</v>
      </c>
      <c r="J58" s="33"/>
      <c r="K58" s="32"/>
      <c r="L58" s="32"/>
      <c r="M58" s="32"/>
    </row>
    <row r="59" spans="1:13" ht="33.6">
      <c r="A59" s="35" t="s">
        <v>56</v>
      </c>
      <c r="B59" s="35" t="s">
        <v>292</v>
      </c>
      <c r="C59" s="35" t="s">
        <v>293</v>
      </c>
      <c r="D59" s="35" t="s">
        <v>294</v>
      </c>
      <c r="E59" s="35" t="s">
        <v>295</v>
      </c>
      <c r="F59" s="35" t="s">
        <v>296</v>
      </c>
      <c r="G59" s="48" t="s">
        <v>32</v>
      </c>
      <c r="H59" s="36" t="s">
        <v>729</v>
      </c>
      <c r="I59" s="35" t="s">
        <v>107</v>
      </c>
      <c r="J59" s="33"/>
      <c r="K59" s="32"/>
      <c r="L59" s="32"/>
      <c r="M59" s="32"/>
    </row>
    <row r="60" spans="1:13" ht="33.6">
      <c r="A60" s="35" t="s">
        <v>57</v>
      </c>
      <c r="B60" s="35" t="s">
        <v>297</v>
      </c>
      <c r="C60" s="35" t="s">
        <v>298</v>
      </c>
      <c r="D60" s="35" t="s">
        <v>299</v>
      </c>
      <c r="E60" s="35" t="s">
        <v>300</v>
      </c>
      <c r="F60" s="35" t="s">
        <v>301</v>
      </c>
      <c r="G60" s="48" t="s">
        <v>32</v>
      </c>
      <c r="H60" s="36" t="s">
        <v>729</v>
      </c>
      <c r="I60" s="35" t="s">
        <v>107</v>
      </c>
      <c r="J60" s="33"/>
      <c r="K60" s="32"/>
      <c r="L60" s="32"/>
      <c r="M60" s="32"/>
    </row>
    <row r="61" spans="1:13" ht="33.6">
      <c r="A61" s="35" t="s">
        <v>58</v>
      </c>
      <c r="B61" s="35" t="s">
        <v>302</v>
      </c>
      <c r="C61" s="35" t="s">
        <v>303</v>
      </c>
      <c r="D61" s="35" t="s">
        <v>304</v>
      </c>
      <c r="E61" s="35" t="s">
        <v>305</v>
      </c>
      <c r="F61" s="35" t="s">
        <v>301</v>
      </c>
      <c r="G61" s="48" t="s">
        <v>32</v>
      </c>
      <c r="H61" s="36" t="s">
        <v>729</v>
      </c>
      <c r="I61" s="35" t="s">
        <v>107</v>
      </c>
      <c r="J61" s="33"/>
      <c r="K61" s="32"/>
      <c r="L61" s="32"/>
      <c r="M61" s="32"/>
    </row>
    <row r="62" spans="1:13" ht="33.6">
      <c r="A62" s="35" t="s">
        <v>59</v>
      </c>
      <c r="B62" s="35" t="s">
        <v>306</v>
      </c>
      <c r="C62" s="35" t="s">
        <v>307</v>
      </c>
      <c r="D62" s="35" t="s">
        <v>308</v>
      </c>
      <c r="E62" s="35" t="s">
        <v>309</v>
      </c>
      <c r="F62" s="35" t="s">
        <v>310</v>
      </c>
      <c r="G62" s="48" t="s">
        <v>32</v>
      </c>
      <c r="H62" s="36" t="s">
        <v>729</v>
      </c>
      <c r="I62" s="35" t="s">
        <v>107</v>
      </c>
      <c r="J62" s="42"/>
      <c r="K62" s="43"/>
      <c r="L62" s="43"/>
      <c r="M62" s="43"/>
    </row>
    <row r="63" spans="1:13" ht="33.6">
      <c r="A63" s="35" t="s">
        <v>60</v>
      </c>
      <c r="B63" s="35" t="s">
        <v>311</v>
      </c>
      <c r="C63" s="35" t="s">
        <v>312</v>
      </c>
      <c r="D63" s="35" t="s">
        <v>71</v>
      </c>
      <c r="E63" s="35" t="s">
        <v>313</v>
      </c>
      <c r="F63" s="35" t="s">
        <v>61</v>
      </c>
      <c r="G63" s="48" t="s">
        <v>32</v>
      </c>
      <c r="H63" s="36" t="s">
        <v>729</v>
      </c>
      <c r="I63" s="35" t="s">
        <v>107</v>
      </c>
      <c r="J63" s="45"/>
      <c r="K63" s="44"/>
      <c r="L63" s="44"/>
      <c r="M63" s="44"/>
    </row>
    <row r="64" spans="1:13" ht="33.6">
      <c r="A64" s="35" t="s">
        <v>62</v>
      </c>
      <c r="B64" s="35" t="s">
        <v>314</v>
      </c>
      <c r="C64" s="35" t="s">
        <v>315</v>
      </c>
      <c r="D64" s="35" t="s">
        <v>69</v>
      </c>
      <c r="E64" s="35" t="s">
        <v>316</v>
      </c>
      <c r="F64" s="35" t="s">
        <v>317</v>
      </c>
      <c r="G64" s="48" t="s">
        <v>32</v>
      </c>
      <c r="H64" s="36" t="s">
        <v>729</v>
      </c>
      <c r="I64" s="35" t="s">
        <v>107</v>
      </c>
      <c r="J64" s="46"/>
      <c r="K64" s="44"/>
      <c r="L64" s="44"/>
      <c r="M64" s="44"/>
    </row>
    <row r="65" spans="1:13" ht="33.6">
      <c r="A65" s="35" t="s">
        <v>63</v>
      </c>
      <c r="B65" s="35" t="s">
        <v>318</v>
      </c>
      <c r="C65" s="35" t="s">
        <v>319</v>
      </c>
      <c r="D65" s="35" t="s">
        <v>320</v>
      </c>
      <c r="E65" s="35" t="s">
        <v>321</v>
      </c>
      <c r="F65" s="35" t="s">
        <v>64</v>
      </c>
      <c r="G65" s="48" t="s">
        <v>32</v>
      </c>
      <c r="H65" s="36" t="s">
        <v>729</v>
      </c>
      <c r="I65" s="35" t="s">
        <v>107</v>
      </c>
      <c r="J65" s="46"/>
      <c r="K65" s="44"/>
      <c r="L65" s="44"/>
      <c r="M65" s="44"/>
    </row>
    <row r="66" spans="1:13" ht="16.8">
      <c r="A66" s="35" t="s">
        <v>65</v>
      </c>
      <c r="B66" s="35" t="s">
        <v>322</v>
      </c>
      <c r="C66" s="35" t="s">
        <v>323</v>
      </c>
      <c r="D66" s="35" t="s">
        <v>324</v>
      </c>
      <c r="E66" s="35" t="s">
        <v>325</v>
      </c>
      <c r="F66" s="35" t="s">
        <v>64</v>
      </c>
      <c r="G66" s="48" t="s">
        <v>32</v>
      </c>
      <c r="H66" s="36" t="s">
        <v>729</v>
      </c>
      <c r="I66" s="35" t="s">
        <v>107</v>
      </c>
      <c r="J66" s="46"/>
      <c r="K66" s="44"/>
      <c r="L66" s="44"/>
      <c r="M66" s="44"/>
    </row>
    <row r="67" spans="1:13" ht="33.6">
      <c r="A67" s="35" t="s">
        <v>66</v>
      </c>
      <c r="B67" s="35" t="s">
        <v>326</v>
      </c>
      <c r="C67" s="35" t="s">
        <v>327</v>
      </c>
      <c r="D67" s="35" t="s">
        <v>328</v>
      </c>
      <c r="E67" s="35" t="s">
        <v>329</v>
      </c>
      <c r="F67" s="35" t="s">
        <v>64</v>
      </c>
      <c r="G67" s="48" t="s">
        <v>32</v>
      </c>
      <c r="H67" s="36" t="s">
        <v>729</v>
      </c>
      <c r="I67" s="35" t="s">
        <v>107</v>
      </c>
      <c r="J67" s="46"/>
      <c r="K67" s="44"/>
      <c r="L67" s="44"/>
      <c r="M67" s="44"/>
    </row>
    <row r="68" spans="1:13" ht="33.6">
      <c r="A68" s="35" t="s">
        <v>67</v>
      </c>
      <c r="B68" s="35" t="s">
        <v>330</v>
      </c>
      <c r="C68" s="35" t="s">
        <v>331</v>
      </c>
      <c r="D68" s="35" t="s">
        <v>332</v>
      </c>
      <c r="E68" s="35" t="s">
        <v>333</v>
      </c>
      <c r="F68" s="35" t="s">
        <v>334</v>
      </c>
      <c r="G68" s="48" t="s">
        <v>32</v>
      </c>
      <c r="H68" s="36" t="s">
        <v>729</v>
      </c>
      <c r="I68" s="35" t="s">
        <v>107</v>
      </c>
      <c r="J68" s="46"/>
      <c r="K68" s="44"/>
      <c r="L68" s="44"/>
      <c r="M68" s="44"/>
    </row>
    <row r="69" spans="1:13" ht="33.6">
      <c r="A69" s="35" t="s">
        <v>68</v>
      </c>
      <c r="B69" s="35" t="s">
        <v>335</v>
      </c>
      <c r="C69" s="35" t="s">
        <v>336</v>
      </c>
      <c r="D69" s="35" t="s">
        <v>71</v>
      </c>
      <c r="E69" s="35" t="s">
        <v>337</v>
      </c>
      <c r="F69" s="35" t="s">
        <v>338</v>
      </c>
      <c r="G69" s="48" t="s">
        <v>32</v>
      </c>
      <c r="H69" s="36" t="s">
        <v>729</v>
      </c>
      <c r="I69" s="35" t="s">
        <v>107</v>
      </c>
      <c r="J69" s="46"/>
      <c r="K69" s="44"/>
      <c r="L69" s="44"/>
      <c r="M69" s="44"/>
    </row>
    <row r="70" spans="1:13" ht="50.4">
      <c r="A70" s="35" t="s">
        <v>70</v>
      </c>
      <c r="B70" s="35" t="s">
        <v>339</v>
      </c>
      <c r="C70" s="35" t="s">
        <v>340</v>
      </c>
      <c r="D70" s="35" t="s">
        <v>236</v>
      </c>
      <c r="E70" s="35" t="s">
        <v>341</v>
      </c>
      <c r="F70" s="35" t="s">
        <v>342</v>
      </c>
      <c r="G70" s="48" t="s">
        <v>32</v>
      </c>
      <c r="H70" s="36" t="s">
        <v>729</v>
      </c>
      <c r="I70" s="35" t="s">
        <v>107</v>
      </c>
      <c r="J70" s="46"/>
      <c r="K70" s="44"/>
      <c r="L70" s="44"/>
      <c r="M70" s="44"/>
    </row>
    <row r="71" spans="1:13" ht="67.2">
      <c r="A71" s="35" t="s">
        <v>72</v>
      </c>
      <c r="B71" s="35" t="s">
        <v>343</v>
      </c>
      <c r="C71" s="35" t="s">
        <v>344</v>
      </c>
      <c r="D71" s="35" t="s">
        <v>345</v>
      </c>
      <c r="E71" s="35" t="s">
        <v>346</v>
      </c>
      <c r="F71" s="35" t="s">
        <v>347</v>
      </c>
      <c r="G71" s="48" t="s">
        <v>32</v>
      </c>
      <c r="H71" s="36" t="s">
        <v>729</v>
      </c>
      <c r="I71" s="35" t="s">
        <v>107</v>
      </c>
      <c r="J71" s="46"/>
      <c r="K71" s="44"/>
      <c r="L71" s="44"/>
      <c r="M71" s="44"/>
    </row>
    <row r="72" spans="1:13" ht="67.2">
      <c r="A72" s="35" t="s">
        <v>73</v>
      </c>
      <c r="B72" s="35" t="s">
        <v>348</v>
      </c>
      <c r="C72" s="35" t="s">
        <v>349</v>
      </c>
      <c r="D72" s="35" t="s">
        <v>350</v>
      </c>
      <c r="E72" s="35" t="s">
        <v>351</v>
      </c>
      <c r="F72" s="35" t="s">
        <v>352</v>
      </c>
      <c r="G72" s="48" t="s">
        <v>32</v>
      </c>
      <c r="H72" s="36" t="s">
        <v>729</v>
      </c>
      <c r="I72" s="35" t="s">
        <v>107</v>
      </c>
      <c r="J72" s="44"/>
      <c r="K72" s="44"/>
      <c r="L72" s="44"/>
      <c r="M72" s="44"/>
    </row>
    <row r="73" spans="1:13" ht="50.4">
      <c r="A73" s="35" t="s">
        <v>75</v>
      </c>
      <c r="B73" s="35" t="s">
        <v>353</v>
      </c>
      <c r="C73" s="35" t="s">
        <v>354</v>
      </c>
      <c r="D73" s="35" t="s">
        <v>355</v>
      </c>
      <c r="E73" s="35" t="s">
        <v>356</v>
      </c>
      <c r="F73" s="35" t="s">
        <v>357</v>
      </c>
      <c r="G73" s="48" t="s">
        <v>32</v>
      </c>
      <c r="H73" s="36" t="s">
        <v>729</v>
      </c>
      <c r="I73" s="35" t="s">
        <v>107</v>
      </c>
      <c r="J73" s="44"/>
      <c r="K73" s="44"/>
      <c r="L73" s="44"/>
      <c r="M73" s="44"/>
    </row>
    <row r="74" spans="1:13" ht="50.4">
      <c r="A74" s="35" t="s">
        <v>358</v>
      </c>
      <c r="B74" s="35" t="s">
        <v>359</v>
      </c>
      <c r="C74" s="35" t="s">
        <v>360</v>
      </c>
      <c r="D74" s="35" t="s">
        <v>361</v>
      </c>
      <c r="E74" s="35" t="s">
        <v>362</v>
      </c>
      <c r="F74" s="35" t="s">
        <v>357</v>
      </c>
      <c r="G74" s="48" t="s">
        <v>32</v>
      </c>
      <c r="H74" s="36" t="s">
        <v>729</v>
      </c>
      <c r="I74" s="35" t="s">
        <v>107</v>
      </c>
      <c r="J74" s="44"/>
      <c r="K74" s="44"/>
      <c r="L74" s="44"/>
      <c r="M74" s="44"/>
    </row>
    <row r="75" spans="1:13" ht="67.2">
      <c r="A75" s="35" t="s">
        <v>363</v>
      </c>
      <c r="B75" s="35" t="s">
        <v>364</v>
      </c>
      <c r="C75" s="35" t="s">
        <v>365</v>
      </c>
      <c r="D75" s="35" t="s">
        <v>366</v>
      </c>
      <c r="E75" s="35" t="s">
        <v>367</v>
      </c>
      <c r="F75" s="35" t="s">
        <v>368</v>
      </c>
      <c r="G75" s="48" t="s">
        <v>32</v>
      </c>
      <c r="H75" s="36" t="s">
        <v>729</v>
      </c>
      <c r="I75" s="35" t="s">
        <v>107</v>
      </c>
      <c r="J75" s="44"/>
      <c r="K75" s="44"/>
      <c r="L75" s="44"/>
      <c r="M75" s="44"/>
    </row>
    <row r="76" spans="1:13" ht="33.6">
      <c r="A76" s="35" t="s">
        <v>369</v>
      </c>
      <c r="B76" s="35" t="s">
        <v>370</v>
      </c>
      <c r="C76" s="35" t="s">
        <v>371</v>
      </c>
      <c r="D76" s="35" t="s">
        <v>372</v>
      </c>
      <c r="E76" s="35" t="s">
        <v>373</v>
      </c>
      <c r="F76" s="35" t="s">
        <v>374</v>
      </c>
      <c r="G76" s="48" t="s">
        <v>32</v>
      </c>
      <c r="H76" s="36" t="s">
        <v>729</v>
      </c>
      <c r="I76" s="35" t="s">
        <v>107</v>
      </c>
      <c r="J76" s="44"/>
      <c r="K76" s="44"/>
      <c r="L76" s="44"/>
      <c r="M76" s="44"/>
    </row>
    <row r="77" spans="1:13" ht="33.6">
      <c r="A77" s="35" t="s">
        <v>375</v>
      </c>
      <c r="B77" s="35" t="s">
        <v>376</v>
      </c>
      <c r="C77" s="35" t="s">
        <v>377</v>
      </c>
      <c r="D77" s="35" t="s">
        <v>378</v>
      </c>
      <c r="E77" s="35" t="s">
        <v>379</v>
      </c>
      <c r="F77" s="35" t="s">
        <v>380</v>
      </c>
      <c r="G77" s="48" t="s">
        <v>32</v>
      </c>
      <c r="H77" s="36" t="s">
        <v>729</v>
      </c>
      <c r="I77" s="35" t="s">
        <v>107</v>
      </c>
      <c r="J77" s="44"/>
      <c r="K77" s="44"/>
      <c r="L77" s="44"/>
      <c r="M77" s="44"/>
    </row>
    <row r="78" spans="1:13" ht="33.6">
      <c r="A78" s="35" t="s">
        <v>381</v>
      </c>
      <c r="B78" s="35" t="s">
        <v>382</v>
      </c>
      <c r="C78" s="35" t="s">
        <v>383</v>
      </c>
      <c r="D78" s="35" t="s">
        <v>384</v>
      </c>
      <c r="E78" s="35" t="s">
        <v>385</v>
      </c>
      <c r="F78" s="35" t="s">
        <v>386</v>
      </c>
      <c r="G78" s="48" t="s">
        <v>32</v>
      </c>
      <c r="H78" s="36" t="s">
        <v>729</v>
      </c>
      <c r="I78" s="35" t="s">
        <v>107</v>
      </c>
      <c r="J78" s="44"/>
      <c r="K78" s="44"/>
      <c r="L78" s="44"/>
      <c r="M78" s="44"/>
    </row>
    <row r="79" spans="1:13" ht="33.6">
      <c r="A79" s="35" t="s">
        <v>387</v>
      </c>
      <c r="B79" s="35" t="s">
        <v>388</v>
      </c>
      <c r="C79" s="35" t="s">
        <v>389</v>
      </c>
      <c r="D79" s="35" t="s">
        <v>258</v>
      </c>
      <c r="E79" s="35" t="s">
        <v>390</v>
      </c>
      <c r="F79" s="35" t="s">
        <v>386</v>
      </c>
      <c r="G79" s="48" t="s">
        <v>32</v>
      </c>
      <c r="H79" s="36" t="s">
        <v>729</v>
      </c>
      <c r="I79" s="35" t="s">
        <v>107</v>
      </c>
      <c r="J79" s="44"/>
      <c r="K79" s="44"/>
      <c r="L79" s="44"/>
      <c r="M79" s="44"/>
    </row>
    <row r="80" spans="1:13" ht="33.6">
      <c r="A80" s="35" t="s">
        <v>391</v>
      </c>
      <c r="B80" s="35" t="s">
        <v>392</v>
      </c>
      <c r="C80" s="35" t="s">
        <v>393</v>
      </c>
      <c r="D80" s="35" t="s">
        <v>394</v>
      </c>
      <c r="E80" s="35" t="s">
        <v>395</v>
      </c>
      <c r="F80" s="35" t="s">
        <v>396</v>
      </c>
      <c r="G80" s="48" t="s">
        <v>32</v>
      </c>
      <c r="H80" s="36" t="s">
        <v>729</v>
      </c>
      <c r="I80" s="35" t="s">
        <v>107</v>
      </c>
      <c r="J80" s="44"/>
      <c r="K80" s="44"/>
      <c r="L80" s="44"/>
      <c r="M80" s="44"/>
    </row>
    <row r="81" spans="1:13" ht="33.6">
      <c r="A81" s="35" t="s">
        <v>397</v>
      </c>
      <c r="B81" s="35" t="s">
        <v>398</v>
      </c>
      <c r="C81" s="35" t="s">
        <v>399</v>
      </c>
      <c r="D81" s="35" t="s">
        <v>400</v>
      </c>
      <c r="E81" s="35" t="s">
        <v>401</v>
      </c>
      <c r="F81" s="35" t="s">
        <v>402</v>
      </c>
      <c r="G81" s="48" t="s">
        <v>32</v>
      </c>
      <c r="H81" s="36" t="s">
        <v>729</v>
      </c>
      <c r="I81" s="35" t="s">
        <v>107</v>
      </c>
      <c r="J81" s="44"/>
      <c r="K81" s="44"/>
      <c r="L81" s="44"/>
      <c r="M81" s="44"/>
    </row>
    <row r="82" spans="1:13" ht="16.8">
      <c r="A82" s="35" t="s">
        <v>403</v>
      </c>
      <c r="B82" s="35" t="s">
        <v>404</v>
      </c>
      <c r="C82" s="35" t="s">
        <v>405</v>
      </c>
      <c r="D82" s="35" t="s">
        <v>400</v>
      </c>
      <c r="E82" s="35" t="s">
        <v>406</v>
      </c>
      <c r="F82" s="35" t="s">
        <v>402</v>
      </c>
      <c r="G82" s="48" t="s">
        <v>32</v>
      </c>
      <c r="H82" s="36" t="s">
        <v>729</v>
      </c>
      <c r="I82" s="35" t="s">
        <v>107</v>
      </c>
      <c r="J82" s="44"/>
      <c r="K82" s="44"/>
      <c r="L82" s="44"/>
      <c r="M82" s="44"/>
    </row>
    <row r="83" spans="1:13" ht="33.6">
      <c r="A83" s="35" t="s">
        <v>407</v>
      </c>
      <c r="B83" s="35" t="s">
        <v>408</v>
      </c>
      <c r="C83" s="35" t="s">
        <v>409</v>
      </c>
      <c r="D83" s="35" t="s">
        <v>410</v>
      </c>
      <c r="E83" s="35" t="s">
        <v>411</v>
      </c>
      <c r="F83" s="35" t="s">
        <v>396</v>
      </c>
      <c r="G83" s="48" t="s">
        <v>32</v>
      </c>
      <c r="H83" s="36" t="s">
        <v>729</v>
      </c>
      <c r="I83" s="35" t="s">
        <v>107</v>
      </c>
      <c r="J83" s="44"/>
      <c r="K83" s="44"/>
      <c r="L83" s="44"/>
      <c r="M83" s="44"/>
    </row>
    <row r="84" spans="1:13" ht="50.4">
      <c r="A84" s="35" t="s">
        <v>412</v>
      </c>
      <c r="B84" s="35" t="s">
        <v>413</v>
      </c>
      <c r="C84" s="35" t="s">
        <v>414</v>
      </c>
      <c r="D84" s="35" t="s">
        <v>415</v>
      </c>
      <c r="E84" s="35" t="s">
        <v>416</v>
      </c>
      <c r="F84" s="35" t="s">
        <v>417</v>
      </c>
      <c r="G84" s="48" t="s">
        <v>32</v>
      </c>
      <c r="H84" s="36" t="s">
        <v>729</v>
      </c>
      <c r="I84" s="35" t="s">
        <v>107</v>
      </c>
      <c r="J84" s="44"/>
      <c r="K84" s="44"/>
      <c r="L84" s="44"/>
      <c r="M84" s="44"/>
    </row>
    <row r="85" spans="1:13" ht="33.6">
      <c r="A85" s="35" t="s">
        <v>418</v>
      </c>
      <c r="B85" s="35" t="s">
        <v>419</v>
      </c>
      <c r="C85" s="35" t="s">
        <v>420</v>
      </c>
      <c r="D85" s="35" t="s">
        <v>421</v>
      </c>
      <c r="E85" s="35" t="s">
        <v>422</v>
      </c>
      <c r="F85" s="35" t="s">
        <v>74</v>
      </c>
      <c r="G85" s="48" t="s">
        <v>32</v>
      </c>
      <c r="H85" s="36" t="s">
        <v>729</v>
      </c>
      <c r="I85" s="35" t="s">
        <v>107</v>
      </c>
      <c r="J85" s="44"/>
      <c r="K85" s="44"/>
      <c r="L85" s="44"/>
      <c r="M85" s="44"/>
    </row>
    <row r="86" spans="1:13" ht="33.6">
      <c r="A86" s="35" t="s">
        <v>423</v>
      </c>
      <c r="B86" s="35" t="s">
        <v>424</v>
      </c>
      <c r="C86" s="35" t="s">
        <v>425</v>
      </c>
      <c r="D86" s="35" t="s">
        <v>426</v>
      </c>
      <c r="E86" s="35" t="s">
        <v>427</v>
      </c>
      <c r="F86" s="35" t="s">
        <v>428</v>
      </c>
      <c r="G86" s="48" t="s">
        <v>32</v>
      </c>
      <c r="H86" s="36" t="s">
        <v>729</v>
      </c>
      <c r="I86" s="35" t="s">
        <v>107</v>
      </c>
      <c r="J86" s="44"/>
      <c r="K86" s="44"/>
      <c r="L86" s="44"/>
      <c r="M86" s="44"/>
    </row>
    <row r="87" spans="1:13" ht="33.6">
      <c r="A87" s="35" t="s">
        <v>429</v>
      </c>
      <c r="B87" s="35" t="s">
        <v>430</v>
      </c>
      <c r="C87" s="35" t="s">
        <v>431</v>
      </c>
      <c r="D87" s="35" t="s">
        <v>432</v>
      </c>
      <c r="E87" s="35" t="s">
        <v>433</v>
      </c>
      <c r="F87" s="35" t="s">
        <v>434</v>
      </c>
      <c r="G87" s="48" t="s">
        <v>32</v>
      </c>
      <c r="H87" s="36" t="s">
        <v>729</v>
      </c>
      <c r="I87" s="35" t="s">
        <v>107</v>
      </c>
      <c r="J87" s="44"/>
      <c r="K87" s="44"/>
      <c r="L87" s="44"/>
      <c r="M87" s="44"/>
    </row>
    <row r="88" spans="1:13" ht="33.6">
      <c r="A88" s="35" t="s">
        <v>435</v>
      </c>
      <c r="B88" s="35" t="s">
        <v>436</v>
      </c>
      <c r="C88" s="35" t="s">
        <v>437</v>
      </c>
      <c r="D88" s="35" t="s">
        <v>438</v>
      </c>
      <c r="E88" s="35" t="s">
        <v>439</v>
      </c>
      <c r="F88" s="35" t="s">
        <v>338</v>
      </c>
      <c r="G88" s="48" t="s">
        <v>32</v>
      </c>
      <c r="H88" s="36" t="s">
        <v>729</v>
      </c>
      <c r="I88" s="35" t="s">
        <v>107</v>
      </c>
      <c r="J88" s="44"/>
      <c r="K88" s="44"/>
      <c r="L88" s="44"/>
      <c r="M88" s="44"/>
    </row>
  </sheetData>
  <mergeCells count="16">
    <mergeCell ref="A51:M51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  <mergeCell ref="F7:F9"/>
    <mergeCell ref="A6:F6"/>
  </mergeCells>
  <dataValidations count="1">
    <dataValidation type="list" operator="equal" allowBlank="1" showErrorMessage="1" promptTitle="dfdf" sqref="J52:J63" xr:uid="{A08BE00A-35E1-4B87-8F4E-9D6D1DD9B2B8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3471-620E-41BC-8037-A4AAF03E633F}">
  <dimension ref="A1:M88"/>
  <sheetViews>
    <sheetView tabSelected="1" topLeftCell="A7" zoomScale="70" zoomScaleNormal="70" workbookViewId="0">
      <selection activeCell="H55" sqref="H55"/>
    </sheetView>
  </sheetViews>
  <sheetFormatPr defaultRowHeight="14.4"/>
  <cols>
    <col min="1" max="1" width="15.5546875" bestFit="1" customWidth="1"/>
    <col min="2" max="2" width="35" customWidth="1"/>
    <col min="3" max="3" width="41.6640625" bestFit="1" customWidth="1"/>
    <col min="4" max="4" width="23.21875" bestFit="1" customWidth="1"/>
    <col min="5" max="5" width="46.88671875" customWidth="1"/>
    <col min="6" max="6" width="78.5546875" bestFit="1" customWidth="1"/>
    <col min="7" max="7" width="12.109375" style="49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16.8">
      <c r="A1" s="18" t="s">
        <v>11</v>
      </c>
      <c r="B1" s="51" t="s">
        <v>2</v>
      </c>
      <c r="C1" s="51"/>
      <c r="D1" s="51"/>
      <c r="E1" s="51"/>
      <c r="F1" s="51"/>
      <c r="G1" s="47"/>
      <c r="H1" s="20"/>
      <c r="I1" s="21"/>
      <c r="J1" s="19"/>
      <c r="K1" s="21"/>
      <c r="L1" s="21"/>
      <c r="M1" s="21"/>
    </row>
    <row r="2" spans="1:13" ht="16.8">
      <c r="A2" s="18" t="s">
        <v>12</v>
      </c>
      <c r="B2" s="52" t="s">
        <v>10</v>
      </c>
      <c r="C2" s="52"/>
      <c r="D2" s="52"/>
      <c r="E2" s="52"/>
      <c r="F2" s="52"/>
      <c r="G2" s="47"/>
      <c r="H2" s="20"/>
      <c r="I2" s="21"/>
      <c r="J2" s="19"/>
      <c r="K2" s="21"/>
      <c r="L2" s="21"/>
      <c r="M2" s="21"/>
    </row>
    <row r="3" spans="1:13" ht="16.8">
      <c r="A3" s="22"/>
      <c r="B3" s="23" t="s">
        <v>13</v>
      </c>
      <c r="C3" s="23" t="s">
        <v>14</v>
      </c>
      <c r="D3" s="23" t="s">
        <v>15</v>
      </c>
      <c r="E3" s="23" t="s">
        <v>16</v>
      </c>
      <c r="F3" s="23" t="s">
        <v>17</v>
      </c>
      <c r="G3" s="47"/>
      <c r="H3" s="20"/>
      <c r="I3" s="21"/>
      <c r="J3" s="19"/>
      <c r="K3" s="21"/>
      <c r="L3" s="21"/>
      <c r="M3" s="21"/>
    </row>
    <row r="4" spans="1:13" ht="16.8">
      <c r="A4" s="24" t="s">
        <v>18</v>
      </c>
      <c r="B4" s="25">
        <v>77</v>
      </c>
      <c r="C4" s="25">
        <v>1</v>
      </c>
      <c r="D4" s="22">
        <f>COUNTIF(G51:G57,"Untested")</f>
        <v>0</v>
      </c>
      <c r="E4" s="26">
        <f>COUNTIF(G51:G57,"Blocked")</f>
        <v>0</v>
      </c>
      <c r="F4" s="22">
        <v>77</v>
      </c>
      <c r="G4" s="47"/>
      <c r="H4" s="20"/>
      <c r="I4" s="21"/>
      <c r="J4" s="19"/>
      <c r="K4" s="21"/>
      <c r="L4" s="21"/>
      <c r="M4" s="21"/>
    </row>
    <row r="5" spans="1:13" ht="16.8">
      <c r="A5" s="24" t="s">
        <v>19</v>
      </c>
      <c r="B5" s="25">
        <v>22</v>
      </c>
      <c r="C5" s="25">
        <v>0</v>
      </c>
      <c r="D5" s="22">
        <f>COUNTIF(J51:J57,"Untested")</f>
        <v>0</v>
      </c>
      <c r="E5" s="26">
        <f>COUNTIF(J51:J57,"Blocked")</f>
        <v>0</v>
      </c>
      <c r="F5" s="22">
        <v>12</v>
      </c>
      <c r="G5" s="47"/>
      <c r="H5" s="20"/>
      <c r="I5" s="21"/>
      <c r="J5" s="19"/>
      <c r="K5" s="21"/>
      <c r="L5" s="21"/>
      <c r="M5" s="21"/>
    </row>
    <row r="6" spans="1:13" ht="408.6" customHeight="1">
      <c r="A6" s="62"/>
      <c r="B6" s="62"/>
      <c r="C6" s="62"/>
      <c r="D6" s="62"/>
      <c r="E6" s="62"/>
      <c r="F6" s="62"/>
      <c r="G6" s="47"/>
      <c r="H6" s="20"/>
      <c r="I6" s="21"/>
      <c r="J6" s="19"/>
      <c r="K6" s="21"/>
      <c r="L6" s="21"/>
      <c r="M6" s="21"/>
    </row>
    <row r="7" spans="1:13" ht="16.8">
      <c r="A7" s="53" t="s">
        <v>20</v>
      </c>
      <c r="B7" s="53" t="s">
        <v>7</v>
      </c>
      <c r="C7" s="53" t="s">
        <v>21</v>
      </c>
      <c r="D7" s="53" t="s">
        <v>22</v>
      </c>
      <c r="E7" s="53" t="s">
        <v>23</v>
      </c>
      <c r="F7" s="53" t="s">
        <v>24</v>
      </c>
      <c r="G7" s="53" t="s">
        <v>25</v>
      </c>
      <c r="H7" s="53"/>
      <c r="I7" s="53"/>
      <c r="J7" s="53" t="s">
        <v>25</v>
      </c>
      <c r="K7" s="53"/>
      <c r="L7" s="53"/>
      <c r="M7" s="53" t="s">
        <v>26</v>
      </c>
    </row>
    <row r="8" spans="1:13" ht="16.8">
      <c r="A8" s="53"/>
      <c r="B8" s="53"/>
      <c r="C8" s="53"/>
      <c r="D8" s="53"/>
      <c r="E8" s="53"/>
      <c r="F8" s="53"/>
      <c r="G8" s="53" t="s">
        <v>27</v>
      </c>
      <c r="H8" s="53"/>
      <c r="I8" s="53"/>
      <c r="J8" s="53" t="s">
        <v>28</v>
      </c>
      <c r="K8" s="53"/>
      <c r="L8" s="53"/>
      <c r="M8" s="53"/>
    </row>
    <row r="9" spans="1:13" ht="16.8">
      <c r="A9" s="53"/>
      <c r="B9" s="53"/>
      <c r="C9" s="53"/>
      <c r="D9" s="53"/>
      <c r="E9" s="53"/>
      <c r="F9" s="53"/>
      <c r="G9" s="50" t="s">
        <v>29</v>
      </c>
      <c r="H9" s="27" t="s">
        <v>30</v>
      </c>
      <c r="I9" s="23" t="s">
        <v>31</v>
      </c>
      <c r="J9" s="23" t="s">
        <v>29</v>
      </c>
      <c r="K9" s="27" t="s">
        <v>30</v>
      </c>
      <c r="L9" s="23" t="s">
        <v>31</v>
      </c>
      <c r="M9" s="53"/>
    </row>
    <row r="10" spans="1:13" ht="16.8">
      <c r="A10" s="55" t="s">
        <v>730</v>
      </c>
      <c r="B10" s="56"/>
      <c r="C10" s="56"/>
      <c r="D10" s="56"/>
      <c r="E10" s="56"/>
      <c r="F10" s="56"/>
      <c r="G10" s="56"/>
      <c r="H10" s="56"/>
      <c r="I10" s="56"/>
      <c r="J10" s="57"/>
      <c r="K10" s="57"/>
      <c r="L10" s="57"/>
      <c r="M10" s="58"/>
    </row>
    <row r="11" spans="1:13" ht="33.6">
      <c r="A11" s="35" t="s">
        <v>76</v>
      </c>
      <c r="B11" s="35" t="s">
        <v>440</v>
      </c>
      <c r="C11" s="35" t="s">
        <v>33</v>
      </c>
      <c r="D11" s="35" t="s">
        <v>33</v>
      </c>
      <c r="E11" s="35" t="s">
        <v>441</v>
      </c>
      <c r="F11" s="35" t="s">
        <v>110</v>
      </c>
      <c r="G11" s="48" t="s">
        <v>32</v>
      </c>
      <c r="H11" s="36" t="s">
        <v>729</v>
      </c>
      <c r="I11" s="35" t="s">
        <v>734</v>
      </c>
      <c r="J11" s="41"/>
      <c r="K11" s="40"/>
      <c r="L11" s="40"/>
      <c r="M11" s="40"/>
    </row>
    <row r="12" spans="1:13" ht="50.4">
      <c r="A12" s="35" t="s">
        <v>77</v>
      </c>
      <c r="B12" s="35" t="s">
        <v>442</v>
      </c>
      <c r="C12" s="35" t="s">
        <v>33</v>
      </c>
      <c r="D12" s="35" t="s">
        <v>33</v>
      </c>
      <c r="E12" s="35" t="s">
        <v>443</v>
      </c>
      <c r="F12" s="35" t="s">
        <v>732</v>
      </c>
      <c r="G12" s="66" t="b">
        <v>0</v>
      </c>
      <c r="H12" s="36" t="s">
        <v>729</v>
      </c>
      <c r="I12" s="35" t="s">
        <v>734</v>
      </c>
      <c r="J12" s="41"/>
      <c r="K12" s="40"/>
      <c r="L12" s="40"/>
      <c r="M12" s="40"/>
    </row>
    <row r="13" spans="1:13" ht="50.4">
      <c r="A13" s="35" t="s">
        <v>78</v>
      </c>
      <c r="B13" s="35" t="s">
        <v>444</v>
      </c>
      <c r="C13" s="35" t="s">
        <v>33</v>
      </c>
      <c r="D13" s="35" t="s">
        <v>445</v>
      </c>
      <c r="E13" s="35" t="s">
        <v>446</v>
      </c>
      <c r="F13" s="35" t="s">
        <v>117</v>
      </c>
      <c r="G13" s="48" t="s">
        <v>32</v>
      </c>
      <c r="H13" s="36" t="s">
        <v>729</v>
      </c>
      <c r="I13" s="35" t="s">
        <v>734</v>
      </c>
      <c r="J13" s="41"/>
      <c r="K13" s="40"/>
      <c r="L13" s="40"/>
      <c r="M13" s="40"/>
    </row>
    <row r="14" spans="1:13" ht="33.6">
      <c r="A14" s="35" t="s">
        <v>79</v>
      </c>
      <c r="B14" s="35" t="s">
        <v>447</v>
      </c>
      <c r="C14" s="35" t="s">
        <v>33</v>
      </c>
      <c r="D14" s="35" t="s">
        <v>448</v>
      </c>
      <c r="E14" s="35" t="s">
        <v>449</v>
      </c>
      <c r="F14" s="35" t="s">
        <v>396</v>
      </c>
      <c r="G14" s="48" t="s">
        <v>32</v>
      </c>
      <c r="H14" s="36" t="s">
        <v>729</v>
      </c>
      <c r="I14" s="35" t="s">
        <v>734</v>
      </c>
      <c r="J14" s="41"/>
      <c r="K14" s="40"/>
      <c r="L14" s="40"/>
      <c r="M14" s="40"/>
    </row>
    <row r="15" spans="1:13" ht="33.6">
      <c r="A15" s="35" t="s">
        <v>80</v>
      </c>
      <c r="B15" s="35" t="s">
        <v>450</v>
      </c>
      <c r="C15" s="35" t="s">
        <v>33</v>
      </c>
      <c r="D15" s="35" t="s">
        <v>33</v>
      </c>
      <c r="E15" s="35" t="s">
        <v>451</v>
      </c>
      <c r="F15" s="35" t="s">
        <v>124</v>
      </c>
      <c r="G15" s="48" t="s">
        <v>32</v>
      </c>
      <c r="H15" s="36" t="s">
        <v>729</v>
      </c>
      <c r="I15" s="35" t="s">
        <v>734</v>
      </c>
      <c r="J15" s="41"/>
      <c r="K15" s="40"/>
      <c r="L15" s="40"/>
      <c r="M15" s="40"/>
    </row>
    <row r="16" spans="1:13" ht="33.6">
      <c r="A16" s="35" t="s">
        <v>81</v>
      </c>
      <c r="B16" s="35" t="s">
        <v>452</v>
      </c>
      <c r="C16" s="35" t="s">
        <v>33</v>
      </c>
      <c r="D16" s="35" t="s">
        <v>33</v>
      </c>
      <c r="E16" s="35" t="s">
        <v>453</v>
      </c>
      <c r="F16" s="35" t="s">
        <v>124</v>
      </c>
      <c r="G16" s="48" t="s">
        <v>32</v>
      </c>
      <c r="H16" s="36" t="s">
        <v>729</v>
      </c>
      <c r="I16" s="35" t="s">
        <v>734</v>
      </c>
      <c r="J16" s="41"/>
      <c r="K16" s="40"/>
      <c r="L16" s="40"/>
      <c r="M16" s="40"/>
    </row>
    <row r="17" spans="1:13" ht="33.6">
      <c r="A17" s="35" t="s">
        <v>82</v>
      </c>
      <c r="B17" s="35" t="s">
        <v>454</v>
      </c>
      <c r="C17" s="35" t="s">
        <v>33</v>
      </c>
      <c r="D17" s="35" t="s">
        <v>33</v>
      </c>
      <c r="E17" s="35" t="s">
        <v>455</v>
      </c>
      <c r="F17" s="35" t="s">
        <v>124</v>
      </c>
      <c r="G17" s="48" t="s">
        <v>32</v>
      </c>
      <c r="H17" s="36" t="s">
        <v>729</v>
      </c>
      <c r="I17" s="35" t="s">
        <v>734</v>
      </c>
      <c r="J17" s="41"/>
      <c r="K17" s="40"/>
      <c r="L17" s="40"/>
      <c r="M17" s="40"/>
    </row>
    <row r="18" spans="1:13" ht="33.6">
      <c r="A18" s="35" t="s">
        <v>83</v>
      </c>
      <c r="B18" s="35" t="s">
        <v>456</v>
      </c>
      <c r="C18" s="35" t="s">
        <v>33</v>
      </c>
      <c r="D18" s="35" t="s">
        <v>33</v>
      </c>
      <c r="E18" s="35" t="s">
        <v>457</v>
      </c>
      <c r="F18" s="35" t="s">
        <v>124</v>
      </c>
      <c r="G18" s="48" t="s">
        <v>32</v>
      </c>
      <c r="H18" s="36" t="s">
        <v>729</v>
      </c>
      <c r="I18" s="35" t="s">
        <v>734</v>
      </c>
      <c r="J18" s="41"/>
      <c r="K18" s="40"/>
      <c r="L18" s="40"/>
      <c r="M18" s="40"/>
    </row>
    <row r="19" spans="1:13" ht="33.6">
      <c r="A19" s="35" t="s">
        <v>84</v>
      </c>
      <c r="B19" s="35" t="s">
        <v>458</v>
      </c>
      <c r="C19" s="35" t="s">
        <v>33</v>
      </c>
      <c r="D19" s="35" t="s">
        <v>33</v>
      </c>
      <c r="E19" s="35" t="s">
        <v>132</v>
      </c>
      <c r="F19" s="35" t="s">
        <v>133</v>
      </c>
      <c r="G19" s="48" t="s">
        <v>32</v>
      </c>
      <c r="H19" s="36" t="s">
        <v>729</v>
      </c>
      <c r="I19" s="35" t="s">
        <v>734</v>
      </c>
      <c r="J19" s="41"/>
      <c r="K19" s="40"/>
      <c r="L19" s="40"/>
      <c r="M19" s="40"/>
    </row>
    <row r="20" spans="1:13" ht="50.4">
      <c r="A20" s="35" t="s">
        <v>85</v>
      </c>
      <c r="B20" s="35" t="s">
        <v>459</v>
      </c>
      <c r="C20" s="35" t="s">
        <v>33</v>
      </c>
      <c r="D20" s="35" t="s">
        <v>33</v>
      </c>
      <c r="E20" s="35" t="s">
        <v>460</v>
      </c>
      <c r="F20" s="35" t="s">
        <v>136</v>
      </c>
      <c r="G20" s="48" t="s">
        <v>32</v>
      </c>
      <c r="H20" s="36" t="s">
        <v>729</v>
      </c>
      <c r="I20" s="35" t="s">
        <v>734</v>
      </c>
      <c r="J20" s="41"/>
      <c r="K20" s="40"/>
      <c r="L20" s="40"/>
      <c r="M20" s="40"/>
    </row>
    <row r="21" spans="1:13" ht="33.6">
      <c r="A21" s="35" t="s">
        <v>461</v>
      </c>
      <c r="B21" s="35" t="s">
        <v>462</v>
      </c>
      <c r="C21" s="35" t="s">
        <v>33</v>
      </c>
      <c r="D21" s="35" t="s">
        <v>463</v>
      </c>
      <c r="E21" s="35" t="s">
        <v>464</v>
      </c>
      <c r="F21" s="35" t="s">
        <v>146</v>
      </c>
      <c r="G21" s="48" t="s">
        <v>32</v>
      </c>
      <c r="H21" s="36" t="s">
        <v>729</v>
      </c>
      <c r="I21" s="35" t="s">
        <v>734</v>
      </c>
      <c r="J21" s="41"/>
      <c r="K21" s="40"/>
      <c r="L21" s="40"/>
      <c r="M21" s="40"/>
    </row>
    <row r="22" spans="1:13" ht="50.4">
      <c r="A22" s="35" t="s">
        <v>465</v>
      </c>
      <c r="B22" s="35" t="s">
        <v>466</v>
      </c>
      <c r="C22" s="35" t="s">
        <v>33</v>
      </c>
      <c r="D22" s="35" t="s">
        <v>33</v>
      </c>
      <c r="E22" s="35" t="s">
        <v>467</v>
      </c>
      <c r="F22" s="35" t="s">
        <v>468</v>
      </c>
      <c r="G22" s="48" t="s">
        <v>32</v>
      </c>
      <c r="H22" s="36" t="s">
        <v>729</v>
      </c>
      <c r="I22" s="35" t="s">
        <v>734</v>
      </c>
      <c r="J22" s="41"/>
      <c r="K22" s="40"/>
      <c r="L22" s="40"/>
      <c r="M22" s="40"/>
    </row>
    <row r="23" spans="1:13" ht="33.6">
      <c r="A23" s="35" t="s">
        <v>469</v>
      </c>
      <c r="B23" s="35" t="s">
        <v>470</v>
      </c>
      <c r="C23" s="35" t="s">
        <v>33</v>
      </c>
      <c r="D23" s="35" t="s">
        <v>158</v>
      </c>
      <c r="E23" s="35" t="s">
        <v>471</v>
      </c>
      <c r="F23" s="35" t="s">
        <v>160</v>
      </c>
      <c r="G23" s="48" t="s">
        <v>32</v>
      </c>
      <c r="H23" s="36" t="s">
        <v>729</v>
      </c>
      <c r="I23" s="35" t="s">
        <v>734</v>
      </c>
      <c r="J23" s="41"/>
      <c r="K23" s="40"/>
      <c r="L23" s="40"/>
      <c r="M23" s="40"/>
    </row>
    <row r="24" spans="1:13" ht="33.6">
      <c r="A24" s="35" t="s">
        <v>472</v>
      </c>
      <c r="B24" s="35" t="s">
        <v>473</v>
      </c>
      <c r="C24" s="35" t="s">
        <v>33</v>
      </c>
      <c r="D24" s="35" t="s">
        <v>474</v>
      </c>
      <c r="E24" s="35" t="s">
        <v>475</v>
      </c>
      <c r="F24" s="35" t="s">
        <v>476</v>
      </c>
      <c r="G24" s="48" t="s">
        <v>32</v>
      </c>
      <c r="H24" s="36" t="s">
        <v>729</v>
      </c>
      <c r="I24" s="35" t="s">
        <v>734</v>
      </c>
      <c r="J24" s="41"/>
      <c r="K24" s="40"/>
      <c r="L24" s="40"/>
      <c r="M24" s="40"/>
    </row>
    <row r="25" spans="1:13" ht="33.6">
      <c r="A25" s="35" t="s">
        <v>477</v>
      </c>
      <c r="B25" s="35" t="s">
        <v>478</v>
      </c>
      <c r="C25" s="35" t="s">
        <v>33</v>
      </c>
      <c r="D25" s="35" t="s">
        <v>173</v>
      </c>
      <c r="E25" s="35" t="s">
        <v>479</v>
      </c>
      <c r="F25" s="35" t="s">
        <v>165</v>
      </c>
      <c r="G25" s="48" t="s">
        <v>32</v>
      </c>
      <c r="H25" s="36" t="s">
        <v>729</v>
      </c>
      <c r="I25" s="35" t="s">
        <v>734</v>
      </c>
      <c r="J25" s="41"/>
      <c r="K25" s="40"/>
      <c r="L25" s="40"/>
      <c r="M25" s="40"/>
    </row>
    <row r="26" spans="1:13" ht="33.6">
      <c r="A26" s="35" t="s">
        <v>480</v>
      </c>
      <c r="B26" s="35" t="s">
        <v>481</v>
      </c>
      <c r="C26" s="35" t="s">
        <v>33</v>
      </c>
      <c r="D26" s="35" t="s">
        <v>168</v>
      </c>
      <c r="E26" s="35" t="s">
        <v>482</v>
      </c>
      <c r="F26" s="35" t="s">
        <v>175</v>
      </c>
      <c r="G26" s="48" t="s">
        <v>32</v>
      </c>
      <c r="H26" s="36" t="s">
        <v>729</v>
      </c>
      <c r="I26" s="35" t="s">
        <v>734</v>
      </c>
      <c r="J26" s="41"/>
      <c r="K26" s="40"/>
      <c r="L26" s="40"/>
      <c r="M26" s="40"/>
    </row>
    <row r="27" spans="1:13" ht="33.6">
      <c r="A27" s="35" t="s">
        <v>483</v>
      </c>
      <c r="B27" s="35" t="s">
        <v>484</v>
      </c>
      <c r="C27" s="35" t="s">
        <v>33</v>
      </c>
      <c r="D27" s="35" t="s">
        <v>178</v>
      </c>
      <c r="E27" s="35" t="s">
        <v>485</v>
      </c>
      <c r="F27" s="35" t="s">
        <v>180</v>
      </c>
      <c r="G27" s="48" t="s">
        <v>32</v>
      </c>
      <c r="H27" s="36" t="s">
        <v>729</v>
      </c>
      <c r="I27" s="35" t="s">
        <v>734</v>
      </c>
      <c r="J27" s="41"/>
      <c r="K27" s="40"/>
      <c r="L27" s="40"/>
      <c r="M27" s="40"/>
    </row>
    <row r="28" spans="1:13" ht="33.6">
      <c r="A28" s="35" t="s">
        <v>486</v>
      </c>
      <c r="B28" s="35" t="s">
        <v>487</v>
      </c>
      <c r="C28" s="35" t="s">
        <v>33</v>
      </c>
      <c r="D28" s="35" t="s">
        <v>183</v>
      </c>
      <c r="E28" s="35" t="s">
        <v>488</v>
      </c>
      <c r="F28" s="35" t="s">
        <v>185</v>
      </c>
      <c r="G28" s="48" t="s">
        <v>32</v>
      </c>
      <c r="H28" s="36" t="s">
        <v>729</v>
      </c>
      <c r="I28" s="35" t="s">
        <v>734</v>
      </c>
      <c r="J28" s="41"/>
      <c r="K28" s="40"/>
      <c r="L28" s="40"/>
      <c r="M28" s="40"/>
    </row>
    <row r="29" spans="1:13" ht="33.6">
      <c r="A29" s="35" t="s">
        <v>489</v>
      </c>
      <c r="B29" s="35" t="s">
        <v>490</v>
      </c>
      <c r="C29" s="35" t="s">
        <v>33</v>
      </c>
      <c r="D29" s="35" t="s">
        <v>491</v>
      </c>
      <c r="E29" s="35" t="s">
        <v>492</v>
      </c>
      <c r="F29" s="35" t="s">
        <v>190</v>
      </c>
      <c r="G29" s="48" t="s">
        <v>32</v>
      </c>
      <c r="H29" s="36" t="s">
        <v>729</v>
      </c>
      <c r="I29" s="35" t="s">
        <v>734</v>
      </c>
      <c r="J29" s="41"/>
      <c r="K29" s="40"/>
      <c r="L29" s="40"/>
      <c r="M29" s="40"/>
    </row>
    <row r="30" spans="1:13" ht="50.4">
      <c r="A30" s="35" t="s">
        <v>493</v>
      </c>
      <c r="B30" s="35" t="s">
        <v>494</v>
      </c>
      <c r="C30" s="35" t="s">
        <v>33</v>
      </c>
      <c r="D30" s="35" t="s">
        <v>193</v>
      </c>
      <c r="E30" s="35" t="s">
        <v>495</v>
      </c>
      <c r="F30" s="35" t="s">
        <v>496</v>
      </c>
      <c r="G30" s="48" t="s">
        <v>32</v>
      </c>
      <c r="H30" s="36" t="s">
        <v>729</v>
      </c>
      <c r="I30" s="35" t="s">
        <v>734</v>
      </c>
      <c r="J30" s="41"/>
      <c r="K30" s="40"/>
      <c r="L30" s="40"/>
      <c r="M30" s="40"/>
    </row>
    <row r="31" spans="1:13" ht="33.6">
      <c r="A31" s="35" t="s">
        <v>497</v>
      </c>
      <c r="B31" s="35" t="s">
        <v>498</v>
      </c>
      <c r="C31" s="35" t="s">
        <v>33</v>
      </c>
      <c r="D31" s="35" t="s">
        <v>193</v>
      </c>
      <c r="E31" s="35" t="s">
        <v>499</v>
      </c>
      <c r="F31" s="35" t="s">
        <v>110</v>
      </c>
      <c r="G31" s="48" t="s">
        <v>32</v>
      </c>
      <c r="H31" s="36" t="s">
        <v>729</v>
      </c>
      <c r="I31" s="35" t="s">
        <v>734</v>
      </c>
      <c r="J31" s="41"/>
      <c r="K31" s="40"/>
      <c r="L31" s="40"/>
      <c r="M31" s="40"/>
    </row>
    <row r="32" spans="1:13" ht="33.6">
      <c r="A32" s="35" t="s">
        <v>500</v>
      </c>
      <c r="B32" s="35" t="s">
        <v>501</v>
      </c>
      <c r="C32" s="35" t="s">
        <v>33</v>
      </c>
      <c r="D32" s="35" t="s">
        <v>502</v>
      </c>
      <c r="E32" s="35" t="s">
        <v>503</v>
      </c>
      <c r="F32" s="35" t="s">
        <v>504</v>
      </c>
      <c r="G32" s="48" t="s">
        <v>32</v>
      </c>
      <c r="H32" s="36" t="s">
        <v>729</v>
      </c>
      <c r="I32" s="35" t="s">
        <v>734</v>
      </c>
      <c r="J32" s="41"/>
      <c r="K32" s="40"/>
      <c r="L32" s="40"/>
      <c r="M32" s="40"/>
    </row>
    <row r="33" spans="1:13" ht="33.6">
      <c r="A33" s="35" t="s">
        <v>505</v>
      </c>
      <c r="B33" s="35" t="s">
        <v>506</v>
      </c>
      <c r="C33" s="35" t="s">
        <v>33</v>
      </c>
      <c r="D33" s="35" t="s">
        <v>507</v>
      </c>
      <c r="E33" s="35" t="s">
        <v>508</v>
      </c>
      <c r="F33" s="35" t="s">
        <v>509</v>
      </c>
      <c r="G33" s="48" t="s">
        <v>32</v>
      </c>
      <c r="H33" s="36" t="s">
        <v>729</v>
      </c>
      <c r="I33" s="35" t="s">
        <v>734</v>
      </c>
      <c r="J33" s="41"/>
      <c r="K33" s="40"/>
      <c r="L33" s="40"/>
      <c r="M33" s="40"/>
    </row>
    <row r="34" spans="1:13" ht="33.6">
      <c r="A34" s="35" t="s">
        <v>510</v>
      </c>
      <c r="B34" s="35" t="s">
        <v>511</v>
      </c>
      <c r="C34" s="35" t="s">
        <v>33</v>
      </c>
      <c r="D34" s="35" t="s">
        <v>507</v>
      </c>
      <c r="E34" s="35" t="s">
        <v>512</v>
      </c>
      <c r="F34" s="35" t="s">
        <v>509</v>
      </c>
      <c r="G34" s="48" t="s">
        <v>32</v>
      </c>
      <c r="H34" s="36" t="s">
        <v>729</v>
      </c>
      <c r="I34" s="35" t="s">
        <v>734</v>
      </c>
      <c r="J34" s="41"/>
      <c r="K34" s="40"/>
      <c r="L34" s="40"/>
      <c r="M34" s="40"/>
    </row>
    <row r="35" spans="1:13" ht="33.6">
      <c r="A35" s="35" t="s">
        <v>513</v>
      </c>
      <c r="B35" s="35" t="s">
        <v>514</v>
      </c>
      <c r="C35" s="35" t="s">
        <v>33</v>
      </c>
      <c r="D35" s="35" t="s">
        <v>193</v>
      </c>
      <c r="E35" s="35" t="s">
        <v>515</v>
      </c>
      <c r="F35" s="35" t="s">
        <v>504</v>
      </c>
      <c r="G35" s="48" t="s">
        <v>32</v>
      </c>
      <c r="H35" s="36" t="s">
        <v>729</v>
      </c>
      <c r="I35" s="35" t="s">
        <v>734</v>
      </c>
      <c r="J35" s="41"/>
      <c r="K35" s="40"/>
      <c r="L35" s="40"/>
      <c r="M35" s="40"/>
    </row>
    <row r="36" spans="1:13" ht="33.6">
      <c r="A36" s="35" t="s">
        <v>516</v>
      </c>
      <c r="B36" s="35" t="s">
        <v>517</v>
      </c>
      <c r="C36" s="35" t="s">
        <v>33</v>
      </c>
      <c r="D36" s="35" t="s">
        <v>193</v>
      </c>
      <c r="E36" s="35" t="s">
        <v>518</v>
      </c>
      <c r="F36" s="35" t="s">
        <v>519</v>
      </c>
      <c r="G36" s="48" t="s">
        <v>32</v>
      </c>
      <c r="H36" s="36" t="s">
        <v>729</v>
      </c>
      <c r="I36" s="35" t="s">
        <v>734</v>
      </c>
      <c r="J36" s="41"/>
      <c r="K36" s="40"/>
      <c r="L36" s="40"/>
      <c r="M36" s="40"/>
    </row>
    <row r="37" spans="1:13" ht="33.6">
      <c r="A37" s="35" t="s">
        <v>520</v>
      </c>
      <c r="B37" s="35" t="s">
        <v>521</v>
      </c>
      <c r="C37" s="35" t="s">
        <v>33</v>
      </c>
      <c r="D37" s="35" t="s">
        <v>193</v>
      </c>
      <c r="E37" s="35" t="s">
        <v>522</v>
      </c>
      <c r="F37" s="35" t="s">
        <v>523</v>
      </c>
      <c r="G37" s="48" t="s">
        <v>32</v>
      </c>
      <c r="H37" s="36" t="s">
        <v>729</v>
      </c>
      <c r="I37" s="35" t="s">
        <v>734</v>
      </c>
      <c r="J37" s="41"/>
      <c r="K37" s="40"/>
      <c r="L37" s="40"/>
      <c r="M37" s="40"/>
    </row>
    <row r="38" spans="1:13" ht="33.6">
      <c r="A38" s="35" t="s">
        <v>524</v>
      </c>
      <c r="B38" s="35" t="s">
        <v>525</v>
      </c>
      <c r="C38" s="35" t="s">
        <v>33</v>
      </c>
      <c r="D38" s="35" t="s">
        <v>193</v>
      </c>
      <c r="E38" s="35" t="s">
        <v>526</v>
      </c>
      <c r="F38" s="35" t="s">
        <v>523</v>
      </c>
      <c r="G38" s="48" t="s">
        <v>32</v>
      </c>
      <c r="H38" s="36" t="s">
        <v>729</v>
      </c>
      <c r="I38" s="35" t="s">
        <v>734</v>
      </c>
      <c r="J38" s="41"/>
      <c r="K38" s="40"/>
      <c r="L38" s="40"/>
      <c r="M38" s="40"/>
    </row>
    <row r="39" spans="1:13" ht="33.6">
      <c r="A39" s="35" t="s">
        <v>527</v>
      </c>
      <c r="B39" s="35" t="s">
        <v>528</v>
      </c>
      <c r="C39" s="35" t="s">
        <v>33</v>
      </c>
      <c r="D39" s="35" t="s">
        <v>193</v>
      </c>
      <c r="E39" s="35" t="s">
        <v>529</v>
      </c>
      <c r="F39" s="35" t="s">
        <v>195</v>
      </c>
      <c r="G39" s="48" t="s">
        <v>32</v>
      </c>
      <c r="H39" s="36" t="s">
        <v>729</v>
      </c>
      <c r="I39" s="35" t="s">
        <v>734</v>
      </c>
      <c r="J39" s="41"/>
      <c r="K39" s="40"/>
      <c r="L39" s="40"/>
      <c r="M39" s="40"/>
    </row>
    <row r="40" spans="1:13" ht="33.6">
      <c r="A40" s="35" t="s">
        <v>530</v>
      </c>
      <c r="B40" s="35" t="s">
        <v>531</v>
      </c>
      <c r="C40" s="35" t="s">
        <v>33</v>
      </c>
      <c r="D40" s="35" t="s">
        <v>193</v>
      </c>
      <c r="E40" s="35" t="s">
        <v>532</v>
      </c>
      <c r="F40" s="35" t="s">
        <v>117</v>
      </c>
      <c r="G40" s="48" t="s">
        <v>32</v>
      </c>
      <c r="H40" s="36" t="s">
        <v>729</v>
      </c>
      <c r="I40" s="35" t="s">
        <v>734</v>
      </c>
      <c r="J40" s="41"/>
      <c r="K40" s="40"/>
      <c r="L40" s="40"/>
      <c r="M40" s="40"/>
    </row>
    <row r="41" spans="1:13" ht="33.6">
      <c r="A41" s="35" t="s">
        <v>533</v>
      </c>
      <c r="B41" s="35" t="s">
        <v>534</v>
      </c>
      <c r="C41" s="35" t="s">
        <v>33</v>
      </c>
      <c r="D41" s="35" t="s">
        <v>193</v>
      </c>
      <c r="E41" s="35" t="s">
        <v>535</v>
      </c>
      <c r="F41" s="35" t="s">
        <v>117</v>
      </c>
      <c r="G41" s="48" t="s">
        <v>32</v>
      </c>
      <c r="H41" s="36" t="s">
        <v>729</v>
      </c>
      <c r="I41" s="35" t="s">
        <v>734</v>
      </c>
      <c r="J41" s="41"/>
      <c r="K41" s="40"/>
      <c r="L41" s="40"/>
      <c r="M41" s="40"/>
    </row>
    <row r="42" spans="1:13" ht="33.6">
      <c r="A42" s="35" t="s">
        <v>536</v>
      </c>
      <c r="B42" s="35" t="s">
        <v>537</v>
      </c>
      <c r="C42" s="35" t="s">
        <v>33</v>
      </c>
      <c r="D42" s="35" t="s">
        <v>224</v>
      </c>
      <c r="E42" s="35" t="s">
        <v>538</v>
      </c>
      <c r="F42" s="35" t="s">
        <v>195</v>
      </c>
      <c r="G42" s="48" t="s">
        <v>32</v>
      </c>
      <c r="H42" s="36" t="s">
        <v>729</v>
      </c>
      <c r="I42" s="35" t="s">
        <v>734</v>
      </c>
      <c r="J42" s="41"/>
      <c r="K42" s="40"/>
      <c r="L42" s="40"/>
      <c r="M42" s="40"/>
    </row>
    <row r="43" spans="1:13" ht="33.6">
      <c r="A43" s="35" t="s">
        <v>539</v>
      </c>
      <c r="B43" s="35" t="s">
        <v>540</v>
      </c>
      <c r="C43" s="35" t="s">
        <v>33</v>
      </c>
      <c r="D43" s="35" t="s">
        <v>224</v>
      </c>
      <c r="E43" s="35" t="s">
        <v>541</v>
      </c>
      <c r="F43" s="35" t="s">
        <v>229</v>
      </c>
      <c r="G43" s="48" t="s">
        <v>32</v>
      </c>
      <c r="H43" s="36" t="s">
        <v>729</v>
      </c>
      <c r="I43" s="35" t="s">
        <v>734</v>
      </c>
      <c r="J43" s="41"/>
      <c r="K43" s="40"/>
      <c r="L43" s="40"/>
      <c r="M43" s="40"/>
    </row>
    <row r="44" spans="1:13" ht="50.4">
      <c r="A44" s="35" t="s">
        <v>542</v>
      </c>
      <c r="B44" s="35" t="s">
        <v>543</v>
      </c>
      <c r="C44" s="35" t="s">
        <v>33</v>
      </c>
      <c r="D44" s="35" t="s">
        <v>224</v>
      </c>
      <c r="E44" s="35" t="s">
        <v>544</v>
      </c>
      <c r="F44" s="35" t="s">
        <v>545</v>
      </c>
      <c r="G44" s="48" t="s">
        <v>32</v>
      </c>
      <c r="H44" s="36" t="s">
        <v>729</v>
      </c>
      <c r="I44" s="35" t="s">
        <v>734</v>
      </c>
      <c r="J44" s="41"/>
      <c r="K44" s="40"/>
      <c r="L44" s="40"/>
      <c r="M44" s="40"/>
    </row>
    <row r="45" spans="1:13" ht="50.4">
      <c r="A45" s="35" t="s">
        <v>546</v>
      </c>
      <c r="B45" s="35" t="s">
        <v>547</v>
      </c>
      <c r="C45" s="35" t="s">
        <v>33</v>
      </c>
      <c r="D45" s="35" t="s">
        <v>224</v>
      </c>
      <c r="E45" s="35" t="s">
        <v>548</v>
      </c>
      <c r="F45" s="35" t="s">
        <v>549</v>
      </c>
      <c r="G45" s="48" t="s">
        <v>32</v>
      </c>
      <c r="H45" s="36" t="s">
        <v>729</v>
      </c>
      <c r="I45" s="35" t="s">
        <v>734</v>
      </c>
      <c r="J45" s="41"/>
      <c r="K45" s="40"/>
      <c r="L45" s="40"/>
      <c r="M45" s="40"/>
    </row>
    <row r="46" spans="1:13" ht="33.6">
      <c r="A46" s="35" t="s">
        <v>550</v>
      </c>
      <c r="B46" s="35" t="s">
        <v>551</v>
      </c>
      <c r="C46" s="35" t="s">
        <v>33</v>
      </c>
      <c r="D46" s="35" t="s">
        <v>224</v>
      </c>
      <c r="E46" s="35" t="s">
        <v>552</v>
      </c>
      <c r="F46" s="35" t="s">
        <v>553</v>
      </c>
      <c r="G46" s="48" t="s">
        <v>32</v>
      </c>
      <c r="H46" s="36" t="s">
        <v>729</v>
      </c>
      <c r="I46" s="35" t="s">
        <v>734</v>
      </c>
      <c r="J46" s="41"/>
      <c r="K46" s="40"/>
      <c r="L46" s="40"/>
      <c r="M46" s="40"/>
    </row>
    <row r="47" spans="1:13" ht="33.6">
      <c r="A47" s="35" t="s">
        <v>554</v>
      </c>
      <c r="B47" s="35" t="s">
        <v>555</v>
      </c>
      <c r="C47" s="35" t="s">
        <v>33</v>
      </c>
      <c r="D47" s="35" t="s">
        <v>236</v>
      </c>
      <c r="E47" s="35" t="s">
        <v>556</v>
      </c>
      <c r="F47" s="35" t="s">
        <v>117</v>
      </c>
      <c r="G47" s="48" t="s">
        <v>32</v>
      </c>
      <c r="H47" s="36" t="s">
        <v>729</v>
      </c>
      <c r="I47" s="35" t="s">
        <v>734</v>
      </c>
      <c r="J47" s="41"/>
      <c r="K47" s="40"/>
      <c r="L47" s="40"/>
      <c r="M47" s="40"/>
    </row>
    <row r="48" spans="1:13" ht="50.4">
      <c r="A48" s="35" t="s">
        <v>557</v>
      </c>
      <c r="B48" s="35" t="s">
        <v>558</v>
      </c>
      <c r="C48" s="35" t="s">
        <v>33</v>
      </c>
      <c r="D48" s="35" t="s">
        <v>559</v>
      </c>
      <c r="E48" s="35" t="s">
        <v>560</v>
      </c>
      <c r="F48" s="35" t="s">
        <v>242</v>
      </c>
      <c r="G48" s="48" t="s">
        <v>32</v>
      </c>
      <c r="H48" s="36" t="s">
        <v>729</v>
      </c>
      <c r="I48" s="35" t="s">
        <v>734</v>
      </c>
      <c r="J48" s="41"/>
      <c r="K48" s="40"/>
      <c r="L48" s="40"/>
      <c r="M48" s="40"/>
    </row>
    <row r="49" spans="1:13" ht="33.6">
      <c r="A49" s="35" t="s">
        <v>561</v>
      </c>
      <c r="B49" s="35" t="s">
        <v>562</v>
      </c>
      <c r="C49" s="35" t="s">
        <v>33</v>
      </c>
      <c r="D49" s="35" t="s">
        <v>563</v>
      </c>
      <c r="E49" s="35" t="s">
        <v>564</v>
      </c>
      <c r="F49" s="35" t="s">
        <v>117</v>
      </c>
      <c r="G49" s="48" t="s">
        <v>32</v>
      </c>
      <c r="H49" s="36" t="s">
        <v>729</v>
      </c>
      <c r="I49" s="35" t="s">
        <v>734</v>
      </c>
      <c r="J49" s="41"/>
      <c r="K49" s="40"/>
      <c r="L49" s="40"/>
      <c r="M49" s="40"/>
    </row>
    <row r="50" spans="1:13" ht="50.4">
      <c r="A50" s="35" t="s">
        <v>565</v>
      </c>
      <c r="B50" s="35" t="s">
        <v>566</v>
      </c>
      <c r="C50" s="35" t="s">
        <v>33</v>
      </c>
      <c r="D50" s="35" t="s">
        <v>567</v>
      </c>
      <c r="E50" s="35" t="s">
        <v>568</v>
      </c>
      <c r="F50" s="35" t="s">
        <v>117</v>
      </c>
      <c r="G50" s="48" t="s">
        <v>32</v>
      </c>
      <c r="H50" s="36" t="s">
        <v>729</v>
      </c>
      <c r="I50" s="35" t="s">
        <v>734</v>
      </c>
      <c r="J50" s="41"/>
      <c r="K50" s="40"/>
      <c r="L50" s="40"/>
      <c r="M50" s="40"/>
    </row>
    <row r="51" spans="1:13" ht="50.4">
      <c r="A51" s="35" t="s">
        <v>569</v>
      </c>
      <c r="B51" s="35" t="s">
        <v>570</v>
      </c>
      <c r="C51" s="35" t="s">
        <v>33</v>
      </c>
      <c r="D51" s="35" t="s">
        <v>571</v>
      </c>
      <c r="E51" s="35" t="s">
        <v>572</v>
      </c>
      <c r="F51" s="35" t="s">
        <v>117</v>
      </c>
      <c r="G51" s="48" t="s">
        <v>32</v>
      </c>
      <c r="H51" s="36" t="s">
        <v>729</v>
      </c>
      <c r="I51" s="35" t="s">
        <v>734</v>
      </c>
      <c r="J51" s="37"/>
      <c r="K51" s="38"/>
      <c r="L51" s="34"/>
      <c r="M51" s="39"/>
    </row>
    <row r="52" spans="1:13" ht="33.6">
      <c r="A52" s="35" t="s">
        <v>573</v>
      </c>
      <c r="B52" s="35" t="s">
        <v>574</v>
      </c>
      <c r="C52" s="35" t="s">
        <v>33</v>
      </c>
      <c r="D52" s="35" t="s">
        <v>575</v>
      </c>
      <c r="E52" s="35" t="s">
        <v>576</v>
      </c>
      <c r="F52" s="35" t="s">
        <v>577</v>
      </c>
      <c r="G52" s="48" t="s">
        <v>32</v>
      </c>
      <c r="H52" s="36" t="s">
        <v>729</v>
      </c>
      <c r="I52" s="35" t="s">
        <v>734</v>
      </c>
      <c r="J52" s="33"/>
      <c r="K52" s="29"/>
      <c r="L52" s="28"/>
      <c r="M52" s="30"/>
    </row>
    <row r="53" spans="1:13" ht="16.8">
      <c r="A53" s="54" t="s">
        <v>731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spans="1:13" ht="67.2">
      <c r="A54" s="35" t="s">
        <v>86</v>
      </c>
      <c r="B54" s="35" t="s">
        <v>87</v>
      </c>
      <c r="C54" s="35" t="s">
        <v>578</v>
      </c>
      <c r="D54" s="35" t="s">
        <v>579</v>
      </c>
      <c r="E54" s="35" t="s">
        <v>580</v>
      </c>
      <c r="F54" s="35" t="s">
        <v>581</v>
      </c>
      <c r="G54" s="48" t="s">
        <v>32</v>
      </c>
      <c r="H54" s="36" t="s">
        <v>729</v>
      </c>
      <c r="I54" s="35" t="s">
        <v>734</v>
      </c>
      <c r="J54" s="33"/>
      <c r="K54" s="31"/>
      <c r="L54" s="28"/>
      <c r="M54" s="30"/>
    </row>
    <row r="55" spans="1:13" ht="50.4">
      <c r="A55" s="35" t="s">
        <v>88</v>
      </c>
      <c r="B55" s="35" t="s">
        <v>582</v>
      </c>
      <c r="C55" s="35" t="s">
        <v>583</v>
      </c>
      <c r="D55" s="35" t="s">
        <v>584</v>
      </c>
      <c r="E55" s="35" t="s">
        <v>585</v>
      </c>
      <c r="F55" s="35" t="s">
        <v>586</v>
      </c>
      <c r="G55" s="48" t="s">
        <v>32</v>
      </c>
      <c r="H55" s="36" t="s">
        <v>729</v>
      </c>
      <c r="I55" s="35" t="s">
        <v>734</v>
      </c>
      <c r="J55" s="33"/>
      <c r="K55" s="31"/>
      <c r="L55" s="28"/>
      <c r="M55" s="30"/>
    </row>
    <row r="56" spans="1:13" ht="33.6">
      <c r="A56" s="35" t="s">
        <v>89</v>
      </c>
      <c r="B56" s="35" t="s">
        <v>587</v>
      </c>
      <c r="C56" s="35" t="s">
        <v>588</v>
      </c>
      <c r="D56" s="35" t="s">
        <v>272</v>
      </c>
      <c r="E56" s="35" t="s">
        <v>589</v>
      </c>
      <c r="F56" s="35" t="s">
        <v>590</v>
      </c>
      <c r="G56" s="48" t="s">
        <v>32</v>
      </c>
      <c r="H56" s="36" t="s">
        <v>729</v>
      </c>
      <c r="I56" s="35" t="s">
        <v>734</v>
      </c>
      <c r="J56" s="33"/>
      <c r="K56" s="31"/>
      <c r="L56" s="28"/>
      <c r="M56" s="30"/>
    </row>
    <row r="57" spans="1:13" ht="33.6">
      <c r="A57" s="35" t="s">
        <v>90</v>
      </c>
      <c r="B57" s="35" t="s">
        <v>591</v>
      </c>
      <c r="C57" s="35" t="s">
        <v>592</v>
      </c>
      <c r="D57" s="35" t="s">
        <v>272</v>
      </c>
      <c r="E57" s="35" t="s">
        <v>593</v>
      </c>
      <c r="F57" s="35" t="s">
        <v>733</v>
      </c>
      <c r="G57" s="66" t="b">
        <v>0</v>
      </c>
      <c r="H57" s="36" t="s">
        <v>729</v>
      </c>
      <c r="I57" s="35" t="s">
        <v>734</v>
      </c>
      <c r="J57" s="33"/>
      <c r="K57" s="31"/>
      <c r="L57" s="28"/>
      <c r="M57" s="30"/>
    </row>
    <row r="58" spans="1:13" ht="33.6">
      <c r="A58" s="35" t="s">
        <v>91</v>
      </c>
      <c r="B58" s="35" t="s">
        <v>594</v>
      </c>
      <c r="C58" s="35" t="s">
        <v>595</v>
      </c>
      <c r="D58" s="35" t="s">
        <v>272</v>
      </c>
      <c r="E58" s="35" t="s">
        <v>596</v>
      </c>
      <c r="F58" s="35" t="s">
        <v>590</v>
      </c>
      <c r="G58" s="48" t="s">
        <v>32</v>
      </c>
      <c r="H58" s="36" t="s">
        <v>729</v>
      </c>
      <c r="I58" s="35" t="s">
        <v>734</v>
      </c>
      <c r="J58" s="33"/>
      <c r="K58" s="31"/>
      <c r="L58" s="28"/>
      <c r="M58" s="30"/>
    </row>
    <row r="59" spans="1:13" ht="50.4">
      <c r="A59" s="35" t="s">
        <v>92</v>
      </c>
      <c r="B59" s="35" t="s">
        <v>597</v>
      </c>
      <c r="C59" s="35" t="s">
        <v>598</v>
      </c>
      <c r="D59" s="35" t="s">
        <v>599</v>
      </c>
      <c r="E59" s="35" t="s">
        <v>600</v>
      </c>
      <c r="F59" s="35" t="s">
        <v>601</v>
      </c>
      <c r="G59" s="48" t="s">
        <v>32</v>
      </c>
      <c r="H59" s="36" t="s">
        <v>729</v>
      </c>
      <c r="I59" s="35" t="s">
        <v>734</v>
      </c>
      <c r="J59" s="33"/>
      <c r="K59" s="32"/>
      <c r="L59" s="32"/>
      <c r="M59" s="32"/>
    </row>
    <row r="60" spans="1:13" ht="33.6">
      <c r="A60" s="35" t="s">
        <v>93</v>
      </c>
      <c r="B60" s="35" t="s">
        <v>602</v>
      </c>
      <c r="C60" s="35" t="s">
        <v>603</v>
      </c>
      <c r="D60" s="35" t="s">
        <v>604</v>
      </c>
      <c r="E60" s="35" t="s">
        <v>605</v>
      </c>
      <c r="F60" s="35" t="s">
        <v>269</v>
      </c>
      <c r="G60" s="48" t="s">
        <v>32</v>
      </c>
      <c r="H60" s="36" t="s">
        <v>729</v>
      </c>
      <c r="I60" s="35" t="s">
        <v>734</v>
      </c>
      <c r="J60" s="33"/>
      <c r="K60" s="32"/>
      <c r="L60" s="32"/>
      <c r="M60" s="32"/>
    </row>
    <row r="61" spans="1:13" ht="33.6">
      <c r="A61" s="35" t="s">
        <v>94</v>
      </c>
      <c r="B61" s="35" t="s">
        <v>606</v>
      </c>
      <c r="C61" s="35" t="s">
        <v>607</v>
      </c>
      <c r="D61" s="35" t="s">
        <v>608</v>
      </c>
      <c r="E61" s="35" t="s">
        <v>609</v>
      </c>
      <c r="F61" s="35" t="s">
        <v>610</v>
      </c>
      <c r="G61" s="48" t="s">
        <v>32</v>
      </c>
      <c r="H61" s="36" t="s">
        <v>729</v>
      </c>
      <c r="I61" s="35" t="s">
        <v>734</v>
      </c>
      <c r="J61" s="33"/>
      <c r="K61" s="32"/>
      <c r="L61" s="32"/>
      <c r="M61" s="32"/>
    </row>
    <row r="62" spans="1:13" ht="33.6">
      <c r="A62" s="35" t="s">
        <v>95</v>
      </c>
      <c r="B62" s="35" t="s">
        <v>611</v>
      </c>
      <c r="C62" s="35" t="s">
        <v>612</v>
      </c>
      <c r="D62" s="35" t="s">
        <v>613</v>
      </c>
      <c r="E62" s="35" t="s">
        <v>614</v>
      </c>
      <c r="F62" s="35" t="s">
        <v>615</v>
      </c>
      <c r="G62" s="48" t="s">
        <v>32</v>
      </c>
      <c r="H62" s="36" t="s">
        <v>729</v>
      </c>
      <c r="I62" s="35" t="s">
        <v>734</v>
      </c>
      <c r="J62" s="33"/>
      <c r="K62" s="32"/>
      <c r="L62" s="32"/>
      <c r="M62" s="32"/>
    </row>
    <row r="63" spans="1:13" ht="33.6">
      <c r="A63" s="35" t="s">
        <v>96</v>
      </c>
      <c r="B63" s="35" t="s">
        <v>616</v>
      </c>
      <c r="C63" s="35" t="s">
        <v>617</v>
      </c>
      <c r="D63" s="35" t="s">
        <v>618</v>
      </c>
      <c r="E63" s="35" t="s">
        <v>619</v>
      </c>
      <c r="F63" s="35" t="s">
        <v>620</v>
      </c>
      <c r="G63" s="48" t="s">
        <v>32</v>
      </c>
      <c r="H63" s="36" t="s">
        <v>729</v>
      </c>
      <c r="I63" s="35" t="s">
        <v>734</v>
      </c>
      <c r="J63" s="33"/>
      <c r="K63" s="32"/>
      <c r="L63" s="32"/>
      <c r="M63" s="32"/>
    </row>
    <row r="64" spans="1:13" ht="33.6">
      <c r="A64" s="35" t="s">
        <v>97</v>
      </c>
      <c r="B64" s="35" t="s">
        <v>621</v>
      </c>
      <c r="C64" s="35" t="s">
        <v>622</v>
      </c>
      <c r="D64" s="35" t="s">
        <v>623</v>
      </c>
      <c r="E64" s="35" t="s">
        <v>624</v>
      </c>
      <c r="F64" s="35" t="s">
        <v>625</v>
      </c>
      <c r="G64" s="48" t="s">
        <v>32</v>
      </c>
      <c r="H64" s="36" t="s">
        <v>729</v>
      </c>
      <c r="I64" s="35" t="s">
        <v>734</v>
      </c>
      <c r="J64" s="33"/>
      <c r="K64" s="32"/>
      <c r="L64" s="32"/>
      <c r="M64" s="32"/>
    </row>
    <row r="65" spans="1:13" ht="33.6">
      <c r="A65" s="35" t="s">
        <v>98</v>
      </c>
      <c r="B65" s="35" t="s">
        <v>626</v>
      </c>
      <c r="C65" s="35" t="s">
        <v>627</v>
      </c>
      <c r="D65" s="35" t="s">
        <v>272</v>
      </c>
      <c r="E65" s="35" t="s">
        <v>628</v>
      </c>
      <c r="F65" s="35" t="s">
        <v>629</v>
      </c>
      <c r="G65" s="48" t="s">
        <v>32</v>
      </c>
      <c r="H65" s="36" t="s">
        <v>729</v>
      </c>
      <c r="I65" s="35" t="s">
        <v>734</v>
      </c>
      <c r="J65" s="42"/>
      <c r="K65" s="43"/>
      <c r="L65" s="43"/>
      <c r="M65" s="43"/>
    </row>
    <row r="66" spans="1:13" ht="33.6">
      <c r="A66" s="35" t="s">
        <v>99</v>
      </c>
      <c r="B66" s="35" t="s">
        <v>630</v>
      </c>
      <c r="C66" s="35" t="s">
        <v>631</v>
      </c>
      <c r="D66" s="35" t="s">
        <v>632</v>
      </c>
      <c r="E66" s="35" t="s">
        <v>633</v>
      </c>
      <c r="F66" s="35" t="s">
        <v>634</v>
      </c>
      <c r="G66" s="48" t="s">
        <v>32</v>
      </c>
      <c r="H66" s="36" t="s">
        <v>729</v>
      </c>
      <c r="I66" s="35" t="s">
        <v>734</v>
      </c>
      <c r="J66" s="46"/>
      <c r="K66" s="44"/>
      <c r="L66" s="44"/>
      <c r="M66" s="44"/>
    </row>
    <row r="67" spans="1:13" ht="33.6">
      <c r="A67" s="35" t="s">
        <v>100</v>
      </c>
      <c r="B67" s="35" t="s">
        <v>635</v>
      </c>
      <c r="C67" s="35" t="s">
        <v>636</v>
      </c>
      <c r="D67" s="35" t="s">
        <v>637</v>
      </c>
      <c r="E67" s="35" t="s">
        <v>638</v>
      </c>
      <c r="F67" s="35" t="s">
        <v>639</v>
      </c>
      <c r="G67" s="48" t="s">
        <v>32</v>
      </c>
      <c r="H67" s="36" t="s">
        <v>729</v>
      </c>
      <c r="I67" s="35" t="s">
        <v>734</v>
      </c>
      <c r="J67" s="46"/>
      <c r="K67" s="44"/>
      <c r="L67" s="44"/>
      <c r="M67" s="44"/>
    </row>
    <row r="68" spans="1:13" ht="16.8">
      <c r="A68" s="35" t="s">
        <v>101</v>
      </c>
      <c r="B68" s="35" t="s">
        <v>311</v>
      </c>
      <c r="C68" s="35" t="s">
        <v>312</v>
      </c>
      <c r="D68" s="35" t="s">
        <v>640</v>
      </c>
      <c r="E68" s="35" t="s">
        <v>641</v>
      </c>
      <c r="F68" s="35" t="s">
        <v>61</v>
      </c>
      <c r="G68" s="48" t="s">
        <v>32</v>
      </c>
      <c r="H68" s="36" t="s">
        <v>729</v>
      </c>
      <c r="I68" s="35" t="s">
        <v>734</v>
      </c>
      <c r="J68" s="46"/>
      <c r="K68" s="44"/>
      <c r="L68" s="44"/>
      <c r="M68" s="44"/>
    </row>
    <row r="69" spans="1:13" ht="33.6">
      <c r="A69" s="35" t="s">
        <v>102</v>
      </c>
      <c r="B69" s="35" t="s">
        <v>314</v>
      </c>
      <c r="C69" s="35" t="s">
        <v>315</v>
      </c>
      <c r="D69" s="35" t="s">
        <v>642</v>
      </c>
      <c r="E69" s="35" t="s">
        <v>643</v>
      </c>
      <c r="F69" s="35" t="s">
        <v>317</v>
      </c>
      <c r="G69" s="48" t="s">
        <v>32</v>
      </c>
      <c r="H69" s="36" t="s">
        <v>729</v>
      </c>
      <c r="I69" s="35" t="s">
        <v>734</v>
      </c>
      <c r="J69" s="46"/>
      <c r="K69" s="44"/>
      <c r="L69" s="44"/>
      <c r="M69" s="44"/>
    </row>
    <row r="70" spans="1:13" ht="16.8">
      <c r="A70" s="35" t="s">
        <v>103</v>
      </c>
      <c r="B70" s="35" t="s">
        <v>644</v>
      </c>
      <c r="C70" s="35" t="s">
        <v>645</v>
      </c>
      <c r="D70" s="35" t="s">
        <v>646</v>
      </c>
      <c r="E70" s="35" t="s">
        <v>647</v>
      </c>
      <c r="F70" s="35" t="s">
        <v>64</v>
      </c>
      <c r="G70" s="48" t="s">
        <v>32</v>
      </c>
      <c r="H70" s="36" t="s">
        <v>729</v>
      </c>
      <c r="I70" s="35" t="s">
        <v>734</v>
      </c>
      <c r="J70" s="46"/>
      <c r="K70" s="44"/>
      <c r="L70" s="44"/>
      <c r="M70" s="44"/>
    </row>
    <row r="71" spans="1:13" ht="16.8">
      <c r="A71" s="35" t="s">
        <v>104</v>
      </c>
      <c r="B71" s="35" t="s">
        <v>648</v>
      </c>
      <c r="C71" s="35" t="s">
        <v>649</v>
      </c>
      <c r="D71" s="35" t="s">
        <v>463</v>
      </c>
      <c r="E71" s="35" t="s">
        <v>650</v>
      </c>
      <c r="F71" s="35" t="s">
        <v>334</v>
      </c>
      <c r="G71" s="48" t="s">
        <v>32</v>
      </c>
      <c r="H71" s="36" t="s">
        <v>729</v>
      </c>
      <c r="I71" s="35" t="s">
        <v>734</v>
      </c>
      <c r="J71" s="46"/>
      <c r="K71" s="44"/>
      <c r="L71" s="44"/>
      <c r="M71" s="44"/>
    </row>
    <row r="72" spans="1:13" ht="33.6">
      <c r="A72" s="35" t="s">
        <v>105</v>
      </c>
      <c r="B72" s="35" t="s">
        <v>335</v>
      </c>
      <c r="C72" s="35" t="s">
        <v>651</v>
      </c>
      <c r="D72" s="35" t="s">
        <v>640</v>
      </c>
      <c r="E72" s="35" t="s">
        <v>652</v>
      </c>
      <c r="F72" s="35" t="s">
        <v>338</v>
      </c>
      <c r="G72" s="48" t="s">
        <v>32</v>
      </c>
      <c r="H72" s="36" t="s">
        <v>729</v>
      </c>
      <c r="I72" s="35" t="s">
        <v>734</v>
      </c>
      <c r="J72" s="46"/>
      <c r="K72" s="44"/>
      <c r="L72" s="44"/>
      <c r="M72" s="44"/>
    </row>
    <row r="73" spans="1:13" ht="50.4">
      <c r="A73" s="35" t="s">
        <v>106</v>
      </c>
      <c r="B73" s="35" t="s">
        <v>653</v>
      </c>
      <c r="C73" s="35" t="s">
        <v>654</v>
      </c>
      <c r="D73" s="35" t="s">
        <v>655</v>
      </c>
      <c r="E73" s="35" t="s">
        <v>656</v>
      </c>
      <c r="F73" s="35" t="s">
        <v>657</v>
      </c>
      <c r="G73" s="48" t="s">
        <v>32</v>
      </c>
      <c r="H73" s="36" t="s">
        <v>729</v>
      </c>
      <c r="I73" s="35" t="s">
        <v>734</v>
      </c>
      <c r="J73" s="46"/>
      <c r="K73" s="44"/>
      <c r="L73" s="44"/>
      <c r="M73" s="44"/>
    </row>
    <row r="74" spans="1:13" ht="50.4">
      <c r="A74" s="35" t="s">
        <v>658</v>
      </c>
      <c r="B74" s="35" t="s">
        <v>659</v>
      </c>
      <c r="C74" s="35" t="s">
        <v>660</v>
      </c>
      <c r="D74" s="35" t="s">
        <v>563</v>
      </c>
      <c r="E74" s="35" t="s">
        <v>661</v>
      </c>
      <c r="F74" s="35" t="s">
        <v>368</v>
      </c>
      <c r="G74" s="48" t="s">
        <v>32</v>
      </c>
      <c r="H74" s="36" t="s">
        <v>729</v>
      </c>
      <c r="I74" s="35" t="s">
        <v>734</v>
      </c>
      <c r="J74" s="46"/>
      <c r="K74" s="44"/>
      <c r="L74" s="44"/>
      <c r="M74" s="44"/>
    </row>
    <row r="75" spans="1:13" ht="67.2">
      <c r="A75" s="35" t="s">
        <v>662</v>
      </c>
      <c r="B75" s="35" t="s">
        <v>663</v>
      </c>
      <c r="C75" s="35" t="s">
        <v>664</v>
      </c>
      <c r="D75" s="35" t="s">
        <v>567</v>
      </c>
      <c r="E75" s="35" t="s">
        <v>665</v>
      </c>
      <c r="F75" s="35" t="s">
        <v>666</v>
      </c>
      <c r="G75" s="48" t="s">
        <v>32</v>
      </c>
      <c r="H75" s="36" t="s">
        <v>729</v>
      </c>
      <c r="I75" s="35" t="s">
        <v>734</v>
      </c>
      <c r="J75" s="46"/>
      <c r="K75" s="44"/>
      <c r="L75" s="44"/>
      <c r="M75" s="44"/>
    </row>
    <row r="76" spans="1:13" ht="33.6">
      <c r="A76" s="35" t="s">
        <v>667</v>
      </c>
      <c r="B76" s="35" t="s">
        <v>382</v>
      </c>
      <c r="C76" s="35" t="s">
        <v>668</v>
      </c>
      <c r="D76" s="35" t="s">
        <v>384</v>
      </c>
      <c r="E76" s="35" t="s">
        <v>669</v>
      </c>
      <c r="F76" s="35" t="s">
        <v>670</v>
      </c>
      <c r="G76" s="48" t="s">
        <v>32</v>
      </c>
      <c r="H76" s="36" t="s">
        <v>729</v>
      </c>
      <c r="I76" s="35" t="s">
        <v>734</v>
      </c>
      <c r="J76" s="44"/>
      <c r="K76" s="44"/>
      <c r="L76" s="44"/>
      <c r="M76" s="44"/>
    </row>
    <row r="77" spans="1:13" ht="33.6">
      <c r="A77" s="35" t="s">
        <v>671</v>
      </c>
      <c r="B77" s="35" t="s">
        <v>672</v>
      </c>
      <c r="C77" s="35" t="s">
        <v>673</v>
      </c>
      <c r="D77" s="35" t="s">
        <v>674</v>
      </c>
      <c r="E77" s="35" t="s">
        <v>386</v>
      </c>
      <c r="F77" s="35" t="s">
        <v>670</v>
      </c>
      <c r="G77" s="48" t="s">
        <v>32</v>
      </c>
      <c r="H77" s="36" t="s">
        <v>729</v>
      </c>
      <c r="I77" s="35" t="s">
        <v>734</v>
      </c>
      <c r="J77" s="44"/>
      <c r="K77" s="44"/>
      <c r="L77" s="44"/>
      <c r="M77" s="44"/>
    </row>
    <row r="78" spans="1:13" ht="33.6">
      <c r="A78" s="35" t="s">
        <v>675</v>
      </c>
      <c r="B78" s="35" t="s">
        <v>676</v>
      </c>
      <c r="C78" s="35" t="s">
        <v>677</v>
      </c>
      <c r="D78" s="35" t="s">
        <v>678</v>
      </c>
      <c r="E78" s="35" t="s">
        <v>679</v>
      </c>
      <c r="F78" s="35" t="s">
        <v>396</v>
      </c>
      <c r="G78" s="48" t="s">
        <v>32</v>
      </c>
      <c r="H78" s="36" t="s">
        <v>729</v>
      </c>
      <c r="I78" s="35" t="s">
        <v>734</v>
      </c>
      <c r="J78" s="44"/>
      <c r="K78" s="44"/>
      <c r="L78" s="44"/>
      <c r="M78" s="44"/>
    </row>
    <row r="79" spans="1:13" ht="33.6">
      <c r="A79" s="35" t="s">
        <v>680</v>
      </c>
      <c r="B79" s="35" t="s">
        <v>681</v>
      </c>
      <c r="C79" s="35" t="s">
        <v>682</v>
      </c>
      <c r="D79" s="35" t="s">
        <v>683</v>
      </c>
      <c r="E79" s="35" t="s">
        <v>684</v>
      </c>
      <c r="F79" s="35" t="s">
        <v>396</v>
      </c>
      <c r="G79" s="48" t="s">
        <v>32</v>
      </c>
      <c r="H79" s="36" t="s">
        <v>729</v>
      </c>
      <c r="I79" s="35" t="s">
        <v>734</v>
      </c>
      <c r="J79" s="44"/>
      <c r="K79" s="44"/>
      <c r="L79" s="44"/>
      <c r="M79" s="44"/>
    </row>
    <row r="80" spans="1:13" ht="33.6">
      <c r="A80" s="35" t="s">
        <v>685</v>
      </c>
      <c r="B80" s="35" t="s">
        <v>686</v>
      </c>
      <c r="C80" s="35" t="s">
        <v>687</v>
      </c>
      <c r="D80" s="35" t="s">
        <v>688</v>
      </c>
      <c r="E80" s="35" t="s">
        <v>689</v>
      </c>
      <c r="F80" s="35" t="s">
        <v>690</v>
      </c>
      <c r="G80" s="48" t="s">
        <v>32</v>
      </c>
      <c r="H80" s="36" t="s">
        <v>729</v>
      </c>
      <c r="I80" s="35" t="s">
        <v>734</v>
      </c>
      <c r="J80" s="44"/>
      <c r="K80" s="44"/>
      <c r="L80" s="44"/>
      <c r="M80" s="44"/>
    </row>
    <row r="81" spans="1:13" ht="50.4">
      <c r="A81" s="35" t="s">
        <v>691</v>
      </c>
      <c r="B81" s="35" t="s">
        <v>692</v>
      </c>
      <c r="C81" s="35" t="s">
        <v>693</v>
      </c>
      <c r="D81" s="35" t="s">
        <v>694</v>
      </c>
      <c r="E81" s="35" t="s">
        <v>695</v>
      </c>
      <c r="F81" s="35" t="s">
        <v>696</v>
      </c>
      <c r="G81" s="48" t="s">
        <v>32</v>
      </c>
      <c r="H81" s="36" t="s">
        <v>729</v>
      </c>
      <c r="I81" s="35" t="s">
        <v>734</v>
      </c>
      <c r="J81" s="44"/>
      <c r="K81" s="44"/>
      <c r="L81" s="44"/>
      <c r="M81" s="44"/>
    </row>
    <row r="82" spans="1:13" ht="50.4">
      <c r="A82" s="35" t="s">
        <v>697</v>
      </c>
      <c r="B82" s="35" t="s">
        <v>698</v>
      </c>
      <c r="C82" s="35" t="s">
        <v>699</v>
      </c>
      <c r="D82" s="35" t="s">
        <v>700</v>
      </c>
      <c r="E82" s="35" t="s">
        <v>701</v>
      </c>
      <c r="F82" s="35" t="s">
        <v>702</v>
      </c>
      <c r="G82" s="48" t="s">
        <v>32</v>
      </c>
      <c r="H82" s="36" t="s">
        <v>729</v>
      </c>
      <c r="I82" s="35" t="s">
        <v>734</v>
      </c>
      <c r="J82" s="44"/>
      <c r="K82" s="44"/>
      <c r="L82" s="44"/>
      <c r="M82" s="44"/>
    </row>
    <row r="83" spans="1:13" ht="33.6">
      <c r="A83" s="35" t="s">
        <v>703</v>
      </c>
      <c r="B83" s="35" t="s">
        <v>704</v>
      </c>
      <c r="C83" s="35" t="s">
        <v>420</v>
      </c>
      <c r="D83" s="35" t="s">
        <v>421</v>
      </c>
      <c r="E83" s="35" t="s">
        <v>705</v>
      </c>
      <c r="F83" s="35" t="s">
        <v>74</v>
      </c>
      <c r="G83" s="48" t="s">
        <v>32</v>
      </c>
      <c r="H83" s="36" t="s">
        <v>729</v>
      </c>
      <c r="I83" s="35" t="s">
        <v>734</v>
      </c>
      <c r="J83" s="44"/>
      <c r="K83" s="44"/>
      <c r="L83" s="44"/>
      <c r="M83" s="44"/>
    </row>
    <row r="84" spans="1:13" ht="33.6">
      <c r="A84" s="35" t="s">
        <v>706</v>
      </c>
      <c r="B84" s="35" t="s">
        <v>707</v>
      </c>
      <c r="C84" s="35" t="s">
        <v>708</v>
      </c>
      <c r="D84" s="35" t="s">
        <v>709</v>
      </c>
      <c r="E84" s="35" t="s">
        <v>710</v>
      </c>
      <c r="F84" s="35" t="s">
        <v>711</v>
      </c>
      <c r="G84" s="48" t="s">
        <v>32</v>
      </c>
      <c r="H84" s="36" t="s">
        <v>729</v>
      </c>
      <c r="I84" s="35" t="s">
        <v>734</v>
      </c>
      <c r="J84" s="44"/>
      <c r="K84" s="44"/>
      <c r="L84" s="44"/>
      <c r="M84" s="44"/>
    </row>
    <row r="85" spans="1:13" ht="33.6">
      <c r="A85" s="35" t="s">
        <v>712</v>
      </c>
      <c r="B85" s="35" t="s">
        <v>713</v>
      </c>
      <c r="C85" s="35" t="s">
        <v>714</v>
      </c>
      <c r="D85" s="35" t="s">
        <v>715</v>
      </c>
      <c r="E85" s="35" t="s">
        <v>716</v>
      </c>
      <c r="F85" s="35" t="s">
        <v>717</v>
      </c>
      <c r="G85" s="48" t="s">
        <v>32</v>
      </c>
      <c r="H85" s="36" t="s">
        <v>729</v>
      </c>
      <c r="I85" s="35" t="s">
        <v>734</v>
      </c>
      <c r="J85" s="44"/>
      <c r="K85" s="44"/>
      <c r="L85" s="44"/>
      <c r="M85" s="44"/>
    </row>
    <row r="86" spans="1:13" ht="33.6">
      <c r="A86" s="35" t="s">
        <v>718</v>
      </c>
      <c r="B86" s="35" t="s">
        <v>430</v>
      </c>
      <c r="C86" s="35" t="s">
        <v>719</v>
      </c>
      <c r="D86" s="35" t="s">
        <v>432</v>
      </c>
      <c r="E86" s="35" t="s">
        <v>720</v>
      </c>
      <c r="F86" s="35" t="s">
        <v>434</v>
      </c>
      <c r="G86" s="48" t="s">
        <v>32</v>
      </c>
      <c r="H86" s="36" t="s">
        <v>729</v>
      </c>
      <c r="I86" s="35" t="s">
        <v>734</v>
      </c>
      <c r="J86" s="44"/>
      <c r="K86" s="44"/>
      <c r="L86" s="44"/>
      <c r="M86" s="44"/>
    </row>
    <row r="87" spans="1:13" ht="16.8">
      <c r="A87" s="35" t="s">
        <v>721</v>
      </c>
      <c r="B87" s="35" t="s">
        <v>436</v>
      </c>
      <c r="C87" s="35" t="s">
        <v>722</v>
      </c>
      <c r="D87" s="35" t="s">
        <v>438</v>
      </c>
      <c r="E87" s="35" t="s">
        <v>723</v>
      </c>
      <c r="F87" s="35" t="s">
        <v>338</v>
      </c>
      <c r="G87" s="48" t="s">
        <v>32</v>
      </c>
      <c r="H87" s="36" t="s">
        <v>729</v>
      </c>
      <c r="I87" s="35" t="s">
        <v>734</v>
      </c>
      <c r="J87" s="44"/>
      <c r="K87" s="44"/>
      <c r="L87" s="44"/>
      <c r="M87" s="44"/>
    </row>
    <row r="88" spans="1:13" ht="50.4">
      <c r="A88" s="35" t="s">
        <v>724</v>
      </c>
      <c r="B88" s="35" t="s">
        <v>725</v>
      </c>
      <c r="C88" s="35" t="s">
        <v>726</v>
      </c>
      <c r="D88" s="35" t="s">
        <v>727</v>
      </c>
      <c r="E88" s="35" t="s">
        <v>728</v>
      </c>
      <c r="F88" s="35" t="s">
        <v>274</v>
      </c>
      <c r="G88" s="48" t="s">
        <v>32</v>
      </c>
      <c r="H88" s="36" t="s">
        <v>729</v>
      </c>
      <c r="I88" s="35" t="s">
        <v>734</v>
      </c>
      <c r="J88" s="44"/>
      <c r="K88" s="44"/>
      <c r="L88" s="44"/>
      <c r="M88" s="44"/>
    </row>
  </sheetData>
  <mergeCells count="16">
    <mergeCell ref="A53:M53"/>
    <mergeCell ref="A10:M10"/>
    <mergeCell ref="G7:I7"/>
    <mergeCell ref="J7:L7"/>
    <mergeCell ref="M7:M9"/>
    <mergeCell ref="G8:I8"/>
    <mergeCell ref="J8:L8"/>
    <mergeCell ref="B1:F1"/>
    <mergeCell ref="B2:F2"/>
    <mergeCell ref="A7:A9"/>
    <mergeCell ref="B7:B9"/>
    <mergeCell ref="C7:C9"/>
    <mergeCell ref="D7:D9"/>
    <mergeCell ref="E7:E9"/>
    <mergeCell ref="F7:F9"/>
    <mergeCell ref="A6:F6"/>
  </mergeCells>
  <dataValidations count="1">
    <dataValidation type="list" operator="equal" allowBlank="1" showErrorMessage="1" promptTitle="dfdf" sqref="J54:J65 J51:J52" xr:uid="{A3589415-8BB2-4630-A933-2A4BD4C744C2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Trường hợp kiểm thử</vt:lpstr>
      <vt:lpstr>Quản lý kiểm kê kho</vt:lpstr>
      <vt:lpstr>Quản lý hủy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Ti Huynh</dc:creator>
  <cp:lastModifiedBy>Ngoc Ti Huynh</cp:lastModifiedBy>
  <dcterms:created xsi:type="dcterms:W3CDTF">2026-05-06T01:46:04Z</dcterms:created>
  <dcterms:modified xsi:type="dcterms:W3CDTF">2026-05-09T06:27:47Z</dcterms:modified>
</cp:coreProperties>
</file>