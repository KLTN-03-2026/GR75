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026\KLTN_TL\Test_Warehouse\"/>
    </mc:Choice>
  </mc:AlternateContent>
  <xr:revisionPtr revIDLastSave="0" documentId="13_ncr:1_{80CDADA6-E6E6-4C6B-90A0-D7F8F9CAEB56}" xr6:coauthVersionLast="47" xr6:coauthVersionMax="47" xr10:uidLastSave="{00000000-0000-0000-0000-000000000000}"/>
  <bookViews>
    <workbookView xWindow="-108" yWindow="-108" windowWidth="23256" windowHeight="12456" activeTab="1" xr2:uid="{4515DAFD-058C-45B4-B597-E1CB24B97769}"/>
  </bookViews>
  <sheets>
    <sheet name="Trường hợp kiểm thử" sheetId="2" r:id="rId1"/>
    <sheet name="AuditLog" sheetId="1" r:id="rId2"/>
    <sheet name="Inbound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3" l="1"/>
  <c r="D5" i="3"/>
  <c r="E4" i="3"/>
  <c r="D4" i="3"/>
  <c r="D7" i="2"/>
  <c r="E5" i="1"/>
  <c r="D5" i="1"/>
  <c r="E4" i="1"/>
  <c r="D4" i="1"/>
</calcChain>
</file>

<file path=xl/sharedStrings.xml><?xml version="1.0" encoding="utf-8"?>
<sst xmlns="http://schemas.openxmlformats.org/spreadsheetml/2006/main" count="830" uniqueCount="490">
  <si>
    <t>Project Name</t>
  </si>
  <si>
    <t>HỆ THỐNG QUẢN LÝ TỒN KHO VÀ TÍCH HỢP AI DỰ ĐOÁN NHẬP HÀNG TƯƠNG LAI</t>
  </si>
  <si>
    <t>Module Code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</si>
  <si>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</si>
  <si>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</si>
  <si>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</si>
  <si>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</si>
  <si>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</si>
  <si>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</si>
  <si>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</si>
  <si>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</si>
  <si>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Mô tả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</si>
  <si>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</si>
  <si>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</si>
  <si>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</si>
  <si>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</si>
  <si>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</si>
  <si>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</si>
  <si>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</si>
  <si>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</si>
  <si>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</si>
  <si>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</si>
  <si>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</si>
  <si>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Passed</t>
  </si>
  <si>
    <t>Đăng nhập thành công</t>
  </si>
  <si>
    <t>-</t>
  </si>
  <si>
    <t>Auditlog</t>
  </si>
  <si>
    <t>GUI-AL01</t>
  </si>
  <si>
    <t>Label "Module" trên filter</t>
  </si>
  <si>
    <t>Label: black, Status: enable</t>
  </si>
  <si>
    <t>GUI-AL02</t>
  </si>
  <si>
    <t>Label "Entity Type" trên filter</t>
  </si>
  <si>
    <t>GUI-AL03</t>
  </si>
  <si>
    <t>Label "Action" trên filter</t>
  </si>
  <si>
    <t>GUI-AL04</t>
  </si>
  <si>
    <t>Label "Date From" trên filter</t>
  </si>
  <si>
    <t>GUI-AL05</t>
  </si>
  <si>
    <t>Label "Date To" trên filter</t>
  </si>
  <si>
    <t>GUI-AL06</t>
  </si>
  <si>
    <t>Textbox "Search by reference code"</t>
  </si>
  <si>
    <t>Placeholder hiển thị đúng, Status: enable</t>
  </si>
  <si>
    <t>Placeholder đúng, Status: enable</t>
  </si>
  <si>
    <t>GUI-AL07</t>
  </si>
  <si>
    <t>Dropdown "Module" hiển thị đúng options</t>
  </si>
  <si>
    <t>Options: stock_ins, products, warehouses…, Status: enable</t>
  </si>
  <si>
    <t>Hiển thị đúng options, Status: enable</t>
  </si>
  <si>
    <t>GUI-AL08</t>
  </si>
  <si>
    <t>Dropdown "Action" hiển thị đúng options</t>
  </si>
  <si>
    <t>Options: CREATE, UPDATE, DELETE, Status: enable</t>
  </si>
  <si>
    <t>GUI-AL09</t>
  </si>
  <si>
    <t>Input date "Date From"</t>
  </si>
  <si>
    <t>Input type=date, Status: enable</t>
  </si>
  <si>
    <t>GUI-AL10</t>
  </si>
  <si>
    <t>Input date "Date To"</t>
  </si>
  <si>
    <t>GUI-AL11</t>
  </si>
  <si>
    <t>Button "Apply Filters"</t>
  </si>
  <si>
    <t>Button màu primary, Status: enable</t>
  </si>
  <si>
    <t>GUI-AL12</t>
  </si>
  <si>
    <t>Bảng danh sách – cột header đầy đủ</t>
  </si>
  <si>
    <t>Cột: ID, Module, Entity Type, Entity ID, Action, Reference Code, Created By, Created At</t>
  </si>
  <si>
    <t>Hiển thị đủ cột</t>
  </si>
  <si>
    <t>GUI-AL13</t>
  </si>
  <si>
    <t>Badge "Action" – màu theo loại</t>
  </si>
  <si>
    <t>CREATE: xanh lá; UPDATE: xanh dương; DELETE: đỏ</t>
  </si>
  <si>
    <t>Màu badge đúng</t>
  </si>
  <si>
    <t>GUI-AL14</t>
  </si>
  <si>
    <t>Row clickable – mở modal chi tiết</t>
  </si>
  <si>
    <t>Row có cursor pointer, Status: enable</t>
  </si>
  <si>
    <t>Row clickable</t>
  </si>
  <si>
    <t>GUI-AL15</t>
  </si>
  <si>
    <t>Modal chi tiết – Label "Old Data"</t>
  </si>
  <si>
    <t>GUI-AL16</t>
  </si>
  <si>
    <t>Modal chi tiết – Label "New Data"</t>
  </si>
  <si>
    <t>GUI-AL17</t>
  </si>
  <si>
    <t>Phân trang – nút Previous / Next</t>
  </si>
  <si>
    <t>Previous: disable trang 1; Next: disable trang cuối; enable khi có trang</t>
  </si>
  <si>
    <t>Trạng thái nút đúng</t>
  </si>
  <si>
    <t>FUNC-AL01</t>
  </si>
  <si>
    <t>Xem danh sách audit log không filter</t>
  </si>
  <si>
    <t>1. Đăng nhập Admin/CEO 2. Vào trang Audit Log</t>
  </si>
  <si>
    <t>Đăng nhập thành công, có log trong DB</t>
  </si>
  <si>
    <t>Danh sách hiển thị, có phân trang, đủ cột</t>
  </si>
  <si>
    <t>Hiển thị đúng</t>
  </si>
  <si>
    <t>FUNC-AL02</t>
  </si>
  <si>
    <t>Filter theo Module = stock_ins</t>
  </si>
  <si>
    <t>1. Chọn Module = "stock_ins" 2. Click Apply</t>
  </si>
  <si>
    <t>Có log module stock_ins</t>
  </si>
  <si>
    <t>Chỉ hiển thị log module stock_ins</t>
  </si>
  <si>
    <t>FUNC-AL03</t>
  </si>
  <si>
    <t>Filter theo Action = CREATE</t>
  </si>
  <si>
    <t>1. Chọn Action = "CREATE" 2. Click Apply</t>
  </si>
  <si>
    <t>Có log CREATE</t>
  </si>
  <si>
    <t>Chỉ hiển thị log CREATE, badge xanh lá</t>
  </si>
  <si>
    <t>FUNC-AL04</t>
  </si>
  <si>
    <t>Filter theo Action = UPDATE</t>
  </si>
  <si>
    <t>1. Chọn Action = "UPDATE" 2. Click Apply</t>
  </si>
  <si>
    <t>Có log UPDATE</t>
  </si>
  <si>
    <t>Chỉ hiển thị log UPDATE, badge xanh dương</t>
  </si>
  <si>
    <t>FUNC-AL05</t>
  </si>
  <si>
    <t>Filter theo Action = DELETE</t>
  </si>
  <si>
    <t>1. Chọn Action = "DELETE" 2. Click Apply</t>
  </si>
  <si>
    <t>Có log DELETE</t>
  </si>
  <si>
    <t>Chỉ hiển thị log DELETE, badge đỏ</t>
  </si>
  <si>
    <t>FUNC-AL06</t>
  </si>
  <si>
    <t>Filter khoảng ngày hợp lệ</t>
  </si>
  <si>
    <t>1. Date From = "2026-04-01" 2. Date To = "2026-04-30" 3. Click Apply</t>
  </si>
  <si>
    <t>Có log trong tháng 4/2026</t>
  </si>
  <si>
    <t>Chỉ hiển thị log trong khoảng 01/04–30/04</t>
  </si>
  <si>
    <t>FUNC-AL07</t>
  </si>
  <si>
    <t>Filter Date From &gt; Date To</t>
  </si>
  <si>
    <t>1. Date From = "2026-05-01" 2. Date To = "2026-04-01" 3. Click Apply</t>
  </si>
  <si>
    <t>Đã đăng nhập</t>
  </si>
  <si>
    <t>Input Date To bị ràng buộc min=DateFrom; không thể chọn ngày &lt; DateFrom</t>
  </si>
  <si>
    <t>Ràng buộc đúng</t>
  </si>
  <si>
    <t>FUNC-AL08</t>
  </si>
  <si>
    <t>Tìm kiếm Reference Code hợp lệ</t>
  </si>
  <si>
    <t>1. Nhập Reference Code = "SI-2026-001" 2. Click Apply</t>
  </si>
  <si>
    <t>Tồn tại log với mã này</t>
  </si>
  <si>
    <t>Hiển thị đúng log có reference_code = SI-2026-001</t>
  </si>
  <si>
    <t>FUNC-AL09</t>
  </si>
  <si>
    <t>Tìm kiếm Reference Code không tồn tại</t>
  </si>
  <si>
    <t>1. Nhập Reference Code = "XXXX-9999" 2. Click Apply</t>
  </si>
  <si>
    <t>Bảng rỗng, hiển thị "No records found"</t>
  </si>
  <si>
    <t>Empty state đúng</t>
  </si>
  <si>
    <t>FUNC-AL10</t>
  </si>
  <si>
    <t>Kết hợp nhiều filter</t>
  </si>
  <si>
    <t>1. Module = stock_ins 2. Action = CREATE 3. Date From/To = 01/04–05/05 4. Click Apply</t>
  </si>
  <si>
    <t>Kết quả thoả mãn tất cả điều kiện</t>
  </si>
  <si>
    <t>Lọc đúng</t>
  </si>
  <si>
    <t>FUNC-AL11</t>
  </si>
  <si>
    <t>Xem chi tiết audit log</t>
  </si>
  <si>
    <t>1. Click vào một row</t>
  </si>
  <si>
    <t>Có dữ liệu log</t>
  </si>
  <si>
    <t>Modal mở, hiển thị: module, entity_type, entity_id, action, old_data, new_data, note, created_by, created_at</t>
  </si>
  <si>
    <t>Modal đúng</t>
  </si>
  <si>
    <t>FUNC-AL12</t>
  </si>
  <si>
    <t>Chi tiết log UPDATE – old_data &amp; new_data là JSON</t>
  </si>
  <si>
    <t>1. Click log có action = UPDATE</t>
  </si>
  <si>
    <t>old_data và new_data hiển thị JSON readable</t>
  </si>
  <si>
    <t>JSON hiển thị đúng</t>
  </si>
  <si>
    <t>FUNC-AL13</t>
  </si>
  <si>
    <t>Chi tiết log CREATE – old_data = null</t>
  </si>
  <si>
    <t>1. Click log có action = CREATE</t>
  </si>
  <si>
    <t>old_data = null hoặc hiển thị "—"; new_data có data</t>
  </si>
  <si>
    <t>FUNC-AL14</t>
  </si>
  <si>
    <t>Chi tiết log DELETE – new_data = null</t>
  </si>
  <si>
    <t>1. Click log có action = DELETE</t>
  </si>
  <si>
    <t>new_data = null hoặc "—"; old_data có data</t>
  </si>
  <si>
    <t>FUNC-AL15</t>
  </si>
  <si>
    <t>Phân trang – chuyển sang trang 2</t>
  </si>
  <si>
    <t>1. Có &gt;10 records 2. Click Next</t>
  </si>
  <si>
    <t>Có &gt;10 log</t>
  </si>
  <si>
    <t>Hiển thị 10 records trang 2; nút Previous enable</t>
  </si>
  <si>
    <t>Phân trang đúng</t>
  </si>
  <si>
    <t>FUNC-AL16</t>
  </si>
  <si>
    <t>Phân trang – quay lại trang 1</t>
  </si>
  <si>
    <t>1. Đang trang 2 2. Click Previous</t>
  </si>
  <si>
    <t>Đang ở trang 2</t>
  </si>
  <si>
    <t>Hiển thị trang 1; nút Previous disable</t>
  </si>
  <si>
    <t>FUNC-AL17</t>
  </si>
  <si>
    <t>Audit log tự ghi khi tạo Stock-In</t>
  </si>
  <si>
    <t>1. Tạo đơn nhập hàng thành công 2. Vào Audit Log</t>
  </si>
  <si>
    <t>Có quyền tạo Stock-In</t>
  </si>
  <si>
    <t>Log mới: module=stock_ins, action=CREATE, entity_id=ID đơn, created_by=user</t>
  </si>
  <si>
    <t>Log ghi đúng</t>
  </si>
  <si>
    <t>FUNC-AL18</t>
  </si>
  <si>
    <t>Audit log tự ghi khi Approve Stock-In</t>
  </si>
  <si>
    <t>1. Duyệt đơn DRAFT 2. Vào Audit Log</t>
  </si>
  <si>
    <t>Có quyền approve</t>
  </si>
  <si>
    <t>Log: action=UPDATE, old_data.status=DRAFT, new_data.status=PENDING</t>
  </si>
  <si>
    <t>Log đúng</t>
  </si>
  <si>
    <t>FUNC-AL19</t>
  </si>
  <si>
    <t>Audit log tự ghi khi Complete Stock-In</t>
  </si>
  <si>
    <t>1. Complete đơn IN_PROGRESS 2. Vào Audit Log</t>
  </si>
  <si>
    <t>Log: action=UPDATE, old_data.status=IN_PROGRESS, new_data.status=COMPLETED</t>
  </si>
  <si>
    <t>FUNC-AL20</t>
  </si>
  <si>
    <t>Role Staff không có quyền xem Audit Log</t>
  </si>
  <si>
    <t>1. Đăng nhập role Staff 2. Truy cập /audit-log</t>
  </si>
  <si>
    <t>Role Staff không có quyền</t>
  </si>
  <si>
    <t>Thông báo "Không có quyền" hoặc redirect</t>
  </si>
  <si>
    <t>Từ chối đúng</t>
  </si>
  <si>
    <t>FUNC-AL21</t>
  </si>
  <si>
    <t>Filter chỉ Date From (không Date To)</t>
  </si>
  <si>
    <t>1. Date From = "2026-05-01" 2. Bỏ trống Date To 3. Click Apply</t>
  </si>
  <si>
    <t>Hiển thị log từ 01/05/2026 đến hiện tại</t>
  </si>
  <si>
    <t>FUNC-AL22</t>
  </si>
  <si>
    <t>Log ghi đúng created_by khi nhiều user thao tác</t>
  </si>
  <si>
    <t>1. User A tạo Stock-In 2. User B duyệt Stock-In 3. Xem Audit Log</t>
  </si>
  <si>
    <t>2 user khác nhau</t>
  </si>
  <si>
    <t>Log tạo: created_by=UserA; Log duyệt: created_by=UserB</t>
  </si>
  <si>
    <t>Log đúng từng user</t>
  </si>
  <si>
    <t>FUNC-AL23</t>
  </si>
  <si>
    <t>Edge case: DB không có log nào</t>
  </si>
  <si>
    <t>1. Xoá toàn bộ log 2. Vào Audit Log</t>
  </si>
  <si>
    <t>DB rỗng</t>
  </si>
  <si>
    <t>Empty state: "No records found"</t>
  </si>
  <si>
    <t>Tên dự án</t>
  </si>
  <si>
    <t>STT</t>
  </si>
  <si>
    <t>Chức năng</t>
  </si>
  <si>
    <t>Sheet Name</t>
  </si>
  <si>
    <t>Số lượng test</t>
  </si>
  <si>
    <t>TỔNG:</t>
  </si>
  <si>
    <t>Audit Log</t>
  </si>
  <si>
    <t>Nhập Kho</t>
  </si>
  <si>
    <t>Inbound</t>
  </si>
  <si>
    <t>GUI-IB01</t>
  </si>
  <si>
    <t>[Inbound] Title "Inbound Management"</t>
  </si>
  <si>
    <t>Label: black, font-bold, Status: enable</t>
  </si>
  <si>
    <t>GUI-IB02</t>
  </si>
  <si>
    <t>[Inbound] KPI card "Total"</t>
  </si>
  <si>
    <t>Card hiển thị số tổng đơn, màu neutral, Status: enable</t>
  </si>
  <si>
    <t>Card hiển thị đúng</t>
  </si>
  <si>
    <t>GUI-IB03</t>
  </si>
  <si>
    <t>[Inbound] KPI card "Draft"</t>
  </si>
  <si>
    <t>Card hiển thị số đơn Draft, Status: enable</t>
  </si>
  <si>
    <t>GUI-IB04</t>
  </si>
  <si>
    <t>[Inbound] KPI card "Pending Approval"</t>
  </si>
  <si>
    <t>Card hiển thị số đơn Pending, màu amber, Status: enable</t>
  </si>
  <si>
    <t>GUI-IB05</t>
  </si>
  <si>
    <t>[Inbound] KPI card "Receiving"</t>
  </si>
  <si>
    <t>Card hiển thị số đơn In Progress, Status: enable</t>
  </si>
  <si>
    <t>GUI-IB06</t>
  </si>
  <si>
    <t>[Inbound] KPI card "Discrepancy"</t>
  </si>
  <si>
    <t>Card hiển thị số đơn Discrepancy, màu đỏ/amber, Status: enable</t>
  </si>
  <si>
    <t>GUI-IB07</t>
  </si>
  <si>
    <t>[Inbound] KPI card "Completed"</t>
  </si>
  <si>
    <t>Card hiển thị số đơn Completed, màu xanh lá, Status: enable</t>
  </si>
  <si>
    <t>GUI-IB08</t>
  </si>
  <si>
    <t>[Inbound] Textbox "Search by order code"</t>
  </si>
  <si>
    <t>Placeholder đúng, icon search, Status: enable</t>
  </si>
  <si>
    <t>GUI-IB09</t>
  </si>
  <si>
    <t>[Inbound] Dropdown Supplier filter</t>
  </si>
  <si>
    <t>Placeholder "All suppliers", Status: enable</t>
  </si>
  <si>
    <t>GUI-IB10</t>
  </si>
  <si>
    <t>[Inbound] Dropdown Status filter</t>
  </si>
  <si>
    <t>Options: All, Draft, Pending Approval, Receiving, Discrepancy, Completed, Cancelled; Status: enable</t>
  </si>
  <si>
    <t>Options đúng, Status: enable</t>
  </si>
  <si>
    <t>GUI-IB11</t>
  </si>
  <si>
    <t>[Inbound] Input date "FROM"</t>
  </si>
  <si>
    <t>Label "FROM", input type=date, Status: enable</t>
  </si>
  <si>
    <t>Label đúng, Status: enable</t>
  </si>
  <si>
    <t>GUI-IB12</t>
  </si>
  <si>
    <t>[Inbound] Input date "TO"</t>
  </si>
  <si>
    <t>Label "TO", input type=date, Status: enable</t>
  </si>
  <si>
    <t>GUI-IB13</t>
  </si>
  <si>
    <t>[Inbound] Button "Create Order" (có quyền)</t>
  </si>
  <si>
    <t>Button màu blue, text "Create Order", Status: enable</t>
  </si>
  <si>
    <t>Button enable</t>
  </si>
  <si>
    <t>GUI-IB14</t>
  </si>
  <si>
    <t>[Inbound] Bảng danh sách – header columns</t>
  </si>
  <si>
    <t>Cột: Order Code, Status, Supplier, Location, Created By, Created At, Actions</t>
  </si>
  <si>
    <t>Đủ cột</t>
  </si>
  <si>
    <t>GUI-IB15</t>
  </si>
  <si>
    <t>[Inbound] Badge Status trong bảng</t>
  </si>
  <si>
    <t>Draft: xám; Pending: amber; Receiving: xanh dương; Discrepancy: đỏ; Completed: xanh lá; Cancelled: xám</t>
  </si>
  <si>
    <t>GUI-IB16</t>
  </si>
  <si>
    <t>[Create Order Sheet] Header "Create Stock-In Order"</t>
  </si>
  <si>
    <t>Label đúng</t>
  </si>
  <si>
    <t>GUI-IB17</t>
  </si>
  <si>
    <t>[Create Order Sheet] Label bắt buộc (*) cho Warehouse Zone và Supplier</t>
  </si>
  <si>
    <t>Ký tự * màu đỏ hiển thị cạnh label, Status: enable</t>
  </si>
  <si>
    <t>Dấu * đúng màu</t>
  </si>
  <si>
    <t>GUI-IB18</t>
  </si>
  <si>
    <t>[Create Order Sheet] Button "Submit for Approval"</t>
  </si>
  <si>
    <t>Button màu blue, Status: enable khi form hợp lệ</t>
  </si>
  <si>
    <t>Button enable đúng điều kiện</t>
  </si>
  <si>
    <t>FUNC-IB01</t>
  </si>
  <si>
    <t>Xem danh sách đơn nhập hàng</t>
  </si>
  <si>
    <t>1. Đăng nhập 2. Vào trang Inbound Management</t>
  </si>
  <si>
    <t>Danh sách đơn nhập hiển thị, KPI cards có số liệu, phân trang</t>
  </si>
  <si>
    <t>FUNC-IB02</t>
  </si>
  <si>
    <t>Tìm kiếm theo order code hợp lệ</t>
  </si>
  <si>
    <t>1. Nhập "SI-2026-001" vào ô search 2. Debounce 350ms tự động filter</t>
  </si>
  <si>
    <t>Có đơn SI-2026-001</t>
  </si>
  <si>
    <t>Hiển thị đúng đơn có code SI-2026-001</t>
  </si>
  <si>
    <t>Tìm kiếm đúng</t>
  </si>
  <si>
    <t>FUNC-IB03</t>
  </si>
  <si>
    <t>Tìm kiếm không có kết quả</t>
  </si>
  <si>
    <t>1. Nhập "NOTEXIST-9999" 2. Đợi debounce</t>
  </si>
  <si>
    <t>FUNC-IB04</t>
  </si>
  <si>
    <t>Filter theo Status = Draft</t>
  </si>
  <si>
    <t>1. Chọn Status = "Draft"</t>
  </si>
  <si>
    <t>Có đơn Draft</t>
  </si>
  <si>
    <t>Chỉ hiển thị đơn DRAFT</t>
  </si>
  <si>
    <t>FUNC-IB05</t>
  </si>
  <si>
    <t>Filter theo Status = Completed</t>
  </si>
  <si>
    <t>1. Chọn Status = "Completed"</t>
  </si>
  <si>
    <t>Có đơn Completed</t>
  </si>
  <si>
    <t>Chỉ hiển thị đơn COMPLETED</t>
  </si>
  <si>
    <t>FUNC-IB06</t>
  </si>
  <si>
    <t>Filter theo Supplier</t>
  </si>
  <si>
    <t>1. Chọn 1 supplier cụ thể từ dropdown</t>
  </si>
  <si>
    <t>Có đơn của supplier đó</t>
  </si>
  <si>
    <t>Chỉ hiển thị đơn thuộc supplier đã chọn</t>
  </si>
  <si>
    <t>FUNC-IB07</t>
  </si>
  <si>
    <t>Filter theo khoảng ngày</t>
  </si>
  <si>
    <t>1. Date FROM = "2026-04-01" 2. Date TO = "2026-04-30"</t>
  </si>
  <si>
    <t>Có đơn trong tháng 4</t>
  </si>
  <si>
    <t>Chỉ hiển thị đơn tạo trong 01/04–30/04 (client-side filter)</t>
  </si>
  <si>
    <t>FUNC-IB08</t>
  </si>
  <si>
    <t>Xoá toàn bộ filter bằng nút Clear</t>
  </si>
  <si>
    <t>1. Đặt nhiều filter 2. Click "Clear"</t>
  </si>
  <si>
    <t>Đang có filter active</t>
  </si>
  <si>
    <t>Tất cả filter reset về mặc định, hiển thị toàn bộ đơn</t>
  </si>
  <si>
    <t>Reset đúng</t>
  </si>
  <si>
    <t>FUNC-IB09</t>
  </si>
  <si>
    <t>Phân trang – chuyển trang</t>
  </si>
  <si>
    <t>1. Có &gt;10 đơn 2. Click Next page</t>
  </si>
  <si>
    <t>Có &gt;10 đơn</t>
  </si>
  <si>
    <t>Trang 2 hiển thị đúng 10 đơn tiếp theo</t>
  </si>
  <si>
    <t>FUNC-IB10</t>
  </si>
  <si>
    <t>Tạo đơn nhập hàng thành công (happy case)</t>
  </si>
  <si>
    <t>1. Click "Create Order" 2. Chọn Warehouse Zone 3. Chọn Supplier 4. Thêm 1 sản phẩm, qty=10 5. Click "Submit for Approval"</t>
  </si>
  <si>
    <t>Có zone và supplier trong hệ thống</t>
  </si>
  <si>
    <t>Toast "Order created", sheet đóng, chuyển đến detail page, đơn ở trạng thái DRAFT</t>
  </si>
  <si>
    <t>Tạo đơn thành công</t>
  </si>
  <si>
    <t>FUNC-IB11</t>
  </si>
  <si>
    <t>Tạo đơn – bỏ trống Warehouse Zone</t>
  </si>
  <si>
    <t>1. Click "Create Order" 2. Chọn Supplier 3. Thêm sản phẩm 4. Click "Submit for Approval"</t>
  </si>
  <si>
    <t>Sheet đang mở</t>
  </si>
  <si>
    <t>Lỗi: "Warehouse zone is required" hiển thị dưới field Zone</t>
  </si>
  <si>
    <t>Validate đúng</t>
  </si>
  <si>
    <t>FUNC-IB12</t>
  </si>
  <si>
    <t>Tạo đơn – bỏ trống Supplier</t>
  </si>
  <si>
    <t>1. Click "Create Order" 2. Chọn Zone 3. Thêm sản phẩm 4. Click "Submit for Approval"</t>
  </si>
  <si>
    <t>Lỗi: "Supplier is required" hiển thị dưới field Supplier</t>
  </si>
  <si>
    <t>FUNC-IB13</t>
  </si>
  <si>
    <t>Tạo đơn – không thêm sản phẩm</t>
  </si>
  <si>
    <t>1. Click "Create Order" 2. Chọn Zone + Supplier 3. Click "Submit for Approval"</t>
  </si>
  <si>
    <t>Lỗi: "At least one product is required"</t>
  </si>
  <si>
    <t>FUNC-IB14</t>
  </si>
  <si>
    <t>Tạo đơn – thêm sản phẩm trùng lặp</t>
  </si>
  <si>
    <t>1. Thêm sản phẩm A ở row 1 2. Thêm lại sản phẩm A ở row 2</t>
  </si>
  <si>
    <t>Duplicate check đúng</t>
  </si>
  <si>
    <t>FUNC-IB15</t>
  </si>
  <si>
    <t>Tạo đơn – nhập quantity = 0</t>
  </si>
  <si>
    <t>1. Thêm sản phẩm 2. Set quantity = 0</t>
  </si>
  <si>
    <t>Qty tự clamp về 1 (min=1), không cho phép qty ≤ 0</t>
  </si>
  <si>
    <t>Clamp đúng</t>
  </si>
  <si>
    <t>FUNC-IB16</t>
  </si>
  <si>
    <t>Tạo đơn – nhập số âm vào quantity</t>
  </si>
  <si>
    <t>1. Nhập qty = -5 trực tiếp vào input</t>
  </si>
  <si>
    <t>Qty clamp về 1 (Math.max logic)</t>
  </si>
  <si>
    <t>FUNC-IB17</t>
  </si>
  <si>
    <t>Tạo đơn – Unit Price tùy chọn (bỏ trống)</t>
  </si>
  <si>
    <t>1. Tạo đơn đầy đủ thông tin 2. Để trống unit_price 3. Submit</t>
  </si>
  <si>
    <t>Đơn tạo thành công, unit_price = null trong DB</t>
  </si>
  <si>
    <t>Tạo đúng</t>
  </si>
  <si>
    <t>FUNC-IB18</t>
  </si>
  <si>
    <t>Tạo đơn – thêm nhiều product lines</t>
  </si>
  <si>
    <t>1. Thêm 5 sản phẩm khác nhau, đặt qty và price 2. Submit</t>
  </si>
  <si>
    <t>Có ≥5 sản phẩm khác nhau</t>
  </si>
  <si>
    <t>Đơn tạo thành công với 5 detail lines; order total hiển thị đúng</t>
  </si>
  <si>
    <t>FUNC-IB19</t>
  </si>
  <si>
    <t>Tạo đơn – xoá product line có dữ liệu (confirm)</t>
  </si>
  <si>
    <t>1. Thêm sản phẩm, nhập qty 2. Click icon Trash 2 3. Xác nhận "Remove"</t>
  </si>
  <si>
    <t>Sheet đang mở, có ≥2 row</t>
  </si>
  <si>
    <t>Hiện confirm "Remove / Cancel"; click Remove → row bị xoá</t>
  </si>
  <si>
    <t>Xoá đúng với confirm</t>
  </si>
  <si>
    <t>FUNC-IB20</t>
  </si>
  <si>
    <t>Tạo đơn – xoá product line trống</t>
  </si>
  <si>
    <t>1. Thêm row mới (chưa chọn sản phẩm) 2. Click Trash</t>
  </si>
  <si>
    <t>Sheet có ≥2 row, row mới trống</t>
  </si>
  <si>
    <t>Row bị xoá ngay không cần confirm</t>
  </si>
  <si>
    <t>Xoá ngay</t>
  </si>
  <si>
    <t>FUNC-IB21</t>
  </si>
  <si>
    <t>Tạo đơn – lọc zone theo Product Category</t>
  </si>
  <si>
    <t>1. Chọn Product Category = "Electronics" 2. Mở dropdown Warehouse Zone</t>
  </si>
  <si>
    <t>Có zone được gán category Electronics</t>
  </si>
  <si>
    <t>Chỉ hiển thị zone thuộc category Electronics</t>
  </si>
  <si>
    <t>FUNC-IB22</t>
  </si>
  <si>
    <t>Tạo đơn – đóng sheet bằng nút Cancel</t>
  </si>
  <si>
    <t>1. Mở sheet Create Order 2. Điền một số thông tin 3. Click "Cancel"</t>
  </si>
  <si>
    <t>Sheet đóng, dữ liệu không được lưu, danh sách không thay đổi</t>
  </si>
  <si>
    <t>Sheet đóng đúng</t>
  </si>
  <si>
    <t>FUNC-IB23</t>
  </si>
  <si>
    <t>Xem chi tiết đơn nhập hàng</t>
  </si>
  <si>
    <t>1. Click vào một row trong danh sách</t>
  </si>
  <si>
    <t>Có đơn nhập hàng</t>
  </si>
  <si>
    <t>Chuyển đến /inbound/:id, hiển thị: code, status, workflow stepper, danh sách sản phẩm, info card</t>
  </si>
  <si>
    <t>FUNC-IB24</t>
  </si>
  <si>
    <t>Approve đơn DRAFT (happy case)</t>
  </si>
  <si>
    <t>1. Mở đơn DRAFT 2. Click "Approve"</t>
  </si>
  <si>
    <t>Role CEO/Admin, đơn ở DRAFT</t>
  </si>
  <si>
    <t>Toast "Approved", status đổi thành PENDING, nút Approve biến mất</t>
  </si>
  <si>
    <t>Approve đúng</t>
  </si>
  <si>
    <t>FUNC-IB25</t>
  </si>
  <si>
    <t>Approve – role Staff không có quyền</t>
  </si>
  <si>
    <t>1. Đăng nhập role Staff 2. Mở đơn DRAFT</t>
  </si>
  <si>
    <t>Role Staff</t>
  </si>
  <si>
    <t>Nút "Approve" không hiển thị</t>
  </si>
  <si>
    <t>Quyền đúng</t>
  </si>
  <si>
    <t>FUNC-IB26</t>
  </si>
  <si>
    <t>Save Receipt (Record) – đơn PENDING</t>
  </si>
  <si>
    <t>1. Mở đơn PENDING 2. Nhập received_quantity cho từng sản phẩm 3. Click "Save Receipt"</t>
  </si>
  <si>
    <t>Đơn ở PENDING, role có quyền update</t>
  </si>
  <si>
    <t>Toast "Receipt recorded"; số lượng được lưu; status chuyển IN_PROGRESS</t>
  </si>
  <si>
    <t>Record đúng</t>
  </si>
  <si>
    <t>FUNC-IB27</t>
  </si>
  <si>
    <t>Save Receipt – đơn IN_PROGRESS</t>
  </si>
  <si>
    <t>1. Mở đơn IN_PROGRESS 2. Chỉnh received_qty 3. Click "Save Receipt"</t>
  </si>
  <si>
    <t>Đơn IN_PROGRESS</t>
  </si>
  <si>
    <t>Toast "Receipt recorded"; received_qty cập nhật</t>
  </si>
  <si>
    <t>FUNC-IB28</t>
  </si>
  <si>
    <t>Report Discrepancy thành công</t>
  </si>
  <si>
    <t>1. Mở đơn IN_PROGRESS 2. Click "Report Discrepancy" 3. Nhập lý do ≥5 ký tự 4. Click "Submit"</t>
  </si>
  <si>
    <t>Đơn IN_PROGRESS, có quyền update</t>
  </si>
  <si>
    <t>Toast "Discrepancy reported"; discrepancy record xuất hiện, status=DISCREPANCY</t>
  </si>
  <si>
    <t>FUNC-IB29</t>
  </si>
  <si>
    <t>Report Discrepancy – lý do &lt; 5 ký tự</t>
  </si>
  <si>
    <t>1. Click "Report Discrepancy" 2. Nhập lý do = "abc" 3. Click Submit</t>
  </si>
  <si>
    <t>Nút Submit disabled, không thể submit</t>
  </si>
  <si>
    <t>FUNC-IB30</t>
  </si>
  <si>
    <t>Resolve Discrepancy thành công</t>
  </si>
  <si>
    <t>1. Mở đơn DISCREPANCY 2. Click "Resolve…" trên discrepancy 3. Nhập action_taken ≥5 ký tự 4. Click "Resolve"</t>
  </si>
  <si>
    <t>Đơn có discrepancy PENDING, role CEO</t>
  </si>
  <si>
    <t>Toast "Discrepancy resolved"; discrepancy status=RESOLVED</t>
  </si>
  <si>
    <t>FUNC-IB31</t>
  </si>
  <si>
    <t>Resolve Discrepancy – action &lt; 5 ký tự</t>
  </si>
  <si>
    <t>1. Nhập action_taken = "ok" 2. Click Resolve</t>
  </si>
  <si>
    <t>Đơn DISCREPANCY</t>
  </si>
  <si>
    <t>Nút Resolve disabled</t>
  </si>
  <si>
    <t>FUNC-IB32</t>
  </si>
  <si>
    <t>Complete đơn IN_PROGRESS (happy case)</t>
  </si>
  <si>
    <t>1. Mở đơn IN_PROGRESS không còn discrepancy PENDING 2. Click "Complete"</t>
  </si>
  <si>
    <t>Đơn IN_PROGRESS, role CEO, không có discrepancy pending</t>
  </si>
  <si>
    <t>Toast "Completed"; status = COMPLETED; nút action ẩn</t>
  </si>
  <si>
    <t>Complete đúng</t>
  </si>
  <si>
    <t>FUNC-IB33</t>
  </si>
  <si>
    <t>Complete bị block khi còn discrepancy PENDING</t>
  </si>
  <si>
    <t>1. Mở đơn có discrepancy PENDING 2. Hover/Click nút "Complete"</t>
  </si>
  <si>
    <t>Đơn IN_PROGRESS có discrepancy PENDING</t>
  </si>
  <si>
    <t>Nút Complete disabled; tooltip: "Còn sai lệch chưa được giải quyết"</t>
  </si>
  <si>
    <t>Block đúng</t>
  </si>
  <si>
    <t>FUNC-IB34</t>
  </si>
  <si>
    <t>Complete bị block khi status = DISCREPANCY</t>
  </si>
  <si>
    <t>1. Mở đơn ở trạng thái DISCREPANCY 2. Xem nút Complete</t>
  </si>
  <si>
    <t>Nút Complete disabled; tooltip: "Phiếu đang ở trạng thái Sai lệch"</t>
  </si>
  <si>
    <t>FUNC-IB35</t>
  </si>
  <si>
    <t>Workflow Stepper hiển thị đúng bước theo status</t>
  </si>
  <si>
    <t>1. Lần lượt xem đơn ở DRAFT / PENDING / IN_PROGRESS / COMPLETED</t>
  </si>
  <si>
    <t>Có đơn ở từng trạng thái</t>
  </si>
  <si>
    <t>Stepper highlight đúng bước hiện tại tương ứng với status</t>
  </si>
  <si>
    <t>Stepper đúng</t>
  </si>
  <si>
    <t>FUNC-IB36</t>
  </si>
  <si>
    <t>Nút "Back to Inbound Management"</t>
  </si>
  <si>
    <t>1. Mở detail đơn 2. Click nút quay lại</t>
  </si>
  <si>
    <t>Đang ở /inbound/:id</t>
  </si>
  <si>
    <t>Điều hướng về /inbound, danh sách load lại</t>
  </si>
  <si>
    <t>Navigate đúng</t>
  </si>
  <si>
    <t>FUNC-IB37</t>
  </si>
  <si>
    <t>Xem Zone Map trong Create Order Sheet</t>
  </si>
  <si>
    <t>1. Chọn Warehouse Zone 2. Quan sát Zone Map</t>
  </si>
  <si>
    <t>Đã chọn zone</t>
  </si>
  <si>
    <t>ZoneMapEmbed hiển thị bản đồ zone, availability count hiển thị</t>
  </si>
  <si>
    <t>Zone Map đúng</t>
  </si>
  <si>
    <t>FUNC-IB38</t>
  </si>
  <si>
    <t>Edge case – đơn COMPLETED: không hiển thị action button</t>
  </si>
  <si>
    <t>1. Mở đơn COMPLETED</t>
  </si>
  <si>
    <t>Đơn COMPLETED</t>
  </si>
  <si>
    <t>Không có nút Approve / Save Receipt / Complete</t>
  </si>
  <si>
    <t>Ẩn nút đúng</t>
  </si>
  <si>
    <t>FUNC-IB39</t>
  </si>
  <si>
    <t>Edge case – đơn CANCELLED: không hiển thị action button</t>
  </si>
  <si>
    <t>1. Mở đơn CANCELLED</t>
  </si>
  <si>
    <t>Đơn CANCELLED</t>
  </si>
  <si>
    <t>Không có nút action nào</t>
  </si>
  <si>
    <t>FUNC-IB40</t>
  </si>
  <si>
    <t>Tạo đơn – ghi Notes/Description tùy chọn</t>
  </si>
  <si>
    <t>1. Nhập Notes = "Hàng nhập tháng 5" 2. Submit</t>
  </si>
  <si>
    <t>Sheet đang mở, zone+supplier+product đủ</t>
  </si>
  <si>
    <t>Đơn tạo thành công, Notes hiển thị đúng trong Info Card</t>
  </si>
  <si>
    <t>Notes lưu đúng</t>
  </si>
  <si>
    <t>GUI_SHOW Trang Inbound</t>
  </si>
  <si>
    <t>FUNCTION_SHOW Trang Inbound</t>
  </si>
  <si>
    <t>GUI_SHOW Trang Auditlog</t>
  </si>
  <si>
    <t>FUNCTION_SHOW Trang Auditlog</t>
  </si>
  <si>
    <t>TEST CASE SYSTEM SPRINT 2</t>
  </si>
  <si>
    <t>Ngọc Huy</t>
  </si>
  <si>
    <t>Kiệt</t>
  </si>
  <si>
    <t>Khi click để xem chức năng auditlog Module Inventory cũng hiển thị định dạng được chọn</t>
  </si>
  <si>
    <t>Không tìm thấy card</t>
  </si>
  <si>
    <t>Pass</t>
  </si>
  <si>
    <t>Bảng hiển thị "No orders found" / empty state</t>
  </si>
  <si>
    <t>Hide the selected from row 1 in row 2.</t>
  </si>
  <si>
    <t>Không có lọc đơn theo product category</t>
  </si>
  <si>
    <t>Details hiển thị đúng</t>
  </si>
  <si>
    <t>Bug nhập xong ấn save sẽ bị trắng màn</t>
  </si>
  <si>
    <t>Bug ấn resolved sẽ bị trắng màn</t>
  </si>
  <si>
    <t>BUG NGHIÊM TRỌNG KHÔNG GHI LẠI BẤT KỲ LOG GÌ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</si>
</sst>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8">
    <font>
      <sz val="11"/>
      <color theme="1"/>
      <name val="Calibri"/>
      <family val="2"/>
      <scheme val="minor"/>
    </font>
    <font>
      <b/>
      <sz val="13"/>
      <color rgb="FFFFFFFF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indexed="9"/>
      <name val="Times New Roman"/>
      <family val="1"/>
    </font>
    <font>
      <sz val="10"/>
      <name val="Arial2"/>
    </font>
    <font>
      <sz val="13"/>
      <color theme="1"/>
      <name val="Times New Roman"/>
      <family val="1"/>
    </font>
    <font>
      <sz val="13"/>
      <color rgb="FF00000A"/>
      <name val="Times New Roman"/>
      <family val="1"/>
    </font>
    <font>
      <sz val="13"/>
      <color rgb="FF000000"/>
      <name val="Times New Roman"/>
      <family val="1"/>
    </font>
    <font>
      <sz val="8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3"/>
      <color theme="9"/>
      <name val="Times New Roman"/>
      <family val="1"/>
    </font>
    <font>
      <sz val="13"/>
      <color rgb="FFFF0000"/>
      <name val="Times New Roman"/>
      <family val="1"/>
    </font>
    <font>
      <sz val="11"/>
      <color theme="9"/>
      <name val="Calibri"/>
      <family val="2"/>
      <scheme val="minor"/>
    </font>
    <font>
      <b/>
      <sz val="13"/>
      <color theme="0"/>
      <name val="Times New Roman"/>
      <family val="1"/>
    </font>
    <font>
      <sz val="25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indexed="21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8"/>
      </patternFill>
    </fill>
    <fill>
      <patternFill patternType="solid">
        <fgColor rgb="FFFFFF00"/>
        <bgColor indexed="38"/>
      </patternFill>
    </fill>
    <fill>
      <patternFill patternType="solid">
        <fgColor theme="1" tint="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Border="0" applyProtection="0">
      <alignment vertical="center"/>
    </xf>
    <xf numFmtId="0" fontId="12" fillId="0" borderId="0" applyNumberFormat="0" applyFill="0" applyBorder="0" applyAlignment="0" applyProtection="0"/>
  </cellStyleXfs>
  <cellXfs count="7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vertical="top"/>
    </xf>
    <xf numFmtId="164" fontId="3" fillId="0" borderId="0" xfId="0" applyNumberFormat="1" applyFont="1"/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0" fontId="0" fillId="0" borderId="3" xfId="0" applyBorder="1"/>
    <xf numFmtId="0" fontId="6" fillId="5" borderId="1" xfId="0" applyFont="1" applyFill="1" applyBorder="1" applyAlignment="1">
      <alignment horizontal="left" vertical="top" wrapText="1"/>
    </xf>
    <xf numFmtId="14" fontId="6" fillId="5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14" fontId="8" fillId="0" borderId="1" xfId="0" applyNumberFormat="1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10" fillId="6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top"/>
    </xf>
    <xf numFmtId="0" fontId="3" fillId="0" borderId="0" xfId="2" applyFont="1" applyBorder="1" applyAlignment="1">
      <alignment horizontal="center" vertical="center"/>
    </xf>
    <xf numFmtId="0" fontId="6" fillId="0" borderId="0" xfId="0" applyFont="1"/>
    <xf numFmtId="0" fontId="10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6" fillId="5" borderId="1" xfId="0" applyFont="1" applyFill="1" applyBorder="1"/>
    <xf numFmtId="0" fontId="10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6" borderId="1" xfId="2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6" fillId="5" borderId="8" xfId="0" applyFont="1" applyFill="1" applyBorder="1" applyAlignment="1">
      <alignment horizontal="left" vertical="top" wrapText="1"/>
    </xf>
    <xf numFmtId="0" fontId="6" fillId="5" borderId="11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0" fillId="0" borderId="15" xfId="0" applyBorder="1"/>
    <xf numFmtId="0" fontId="0" fillId="0" borderId="1" xfId="0" applyBorder="1"/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3" fillId="5" borderId="1" xfId="0" applyFont="1" applyFill="1" applyBorder="1" applyAlignment="1">
      <alignment horizontal="left" vertical="top" wrapText="1"/>
    </xf>
    <xf numFmtId="0" fontId="14" fillId="5" borderId="1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 vertical="top"/>
    </xf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8" borderId="14" xfId="0" applyFont="1" applyFill="1" applyBorder="1" applyAlignment="1">
      <alignment horizontal="center" vertical="center" wrapText="1"/>
    </xf>
    <xf numFmtId="0" fontId="17" fillId="8" borderId="0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10" xfId="1" xr:uid="{6B4FA48E-9BC2-4E44-92C5-80A42B36BF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936172</xdr:colOff>
      <xdr:row>5</xdr:row>
      <xdr:rowOff>43545</xdr:rowOff>
    </xdr:from>
    <xdr:to>
      <xdr:col>5</xdr:col>
      <xdr:colOff>3581400</xdr:colOff>
      <xdr:row>5</xdr:row>
      <xdr:rowOff>4892399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3EF76-6D1A-1CC8-2363-AF50095D5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172" y="1132116"/>
          <a:ext cx="10689771" cy="48488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1</xdr:rowOff>
    </xdr:from>
    <xdr:to>
      <xdr:col>5</xdr:col>
      <xdr:colOff>2405744</xdr:colOff>
      <xdr:row>5</xdr:row>
      <xdr:rowOff>4920077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8B65EE-116B-356C-7B02-A3999E1AB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088572"/>
          <a:ext cx="10809514" cy="49200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8E1A-1033-4E4B-B26C-6425DE6BB9AF}">
  <dimension ref="A1:E11"/>
  <sheetViews>
    <sheetView workbookViewId="0">
      <selection activeCell="E11" sqref="E11"/>
    </sheetView>
  </sheetViews>
  <sheetFormatPr defaultRowHeight="14.4"/>
  <cols>
    <col min="1" max="1" width="11.77734375" bestFit="1" customWidth="1"/>
    <col min="2" max="2" width="42.21875" bestFit="1" customWidth="1"/>
    <col min="3" max="3" width="35.44140625" bestFit="1" customWidth="1"/>
    <col min="4" max="4" width="14.6640625" bestFit="1" customWidth="1"/>
    <col min="5" max="5" width="8.77734375" bestFit="1" customWidth="1"/>
  </cols>
  <sheetData>
    <row r="1" spans="1:5" ht="16.8" customHeight="1">
      <c r="A1" s="61" t="s">
        <v>477</v>
      </c>
      <c r="B1" s="61"/>
      <c r="C1" s="61"/>
      <c r="D1" s="61"/>
      <c r="E1" s="61"/>
    </row>
    <row r="2" spans="1:5" ht="16.8" customHeight="1">
      <c r="A2" s="61"/>
      <c r="B2" s="61"/>
      <c r="C2" s="61"/>
      <c r="D2" s="61"/>
      <c r="E2" s="61"/>
    </row>
    <row r="3" spans="1:5" ht="16.8">
      <c r="A3" s="19" t="s">
        <v>196</v>
      </c>
      <c r="B3" s="62" t="s">
        <v>1</v>
      </c>
      <c r="C3" s="63"/>
      <c r="D3" s="63"/>
      <c r="E3" s="30"/>
    </row>
    <row r="4" spans="1:5" ht="16.8">
      <c r="A4" s="31" t="s">
        <v>197</v>
      </c>
      <c r="B4" s="31" t="s">
        <v>198</v>
      </c>
      <c r="C4" s="31" t="s">
        <v>199</v>
      </c>
      <c r="D4" s="31" t="s">
        <v>200</v>
      </c>
      <c r="E4" s="31" t="s">
        <v>11</v>
      </c>
    </row>
    <row r="5" spans="1:5" ht="16.8">
      <c r="A5" s="32">
        <v>1</v>
      </c>
      <c r="B5" s="33" t="s">
        <v>202</v>
      </c>
      <c r="C5" s="34" t="s">
        <v>202</v>
      </c>
      <c r="D5" s="20">
        <v>40</v>
      </c>
      <c r="E5" s="19"/>
    </row>
    <row r="6" spans="1:5" ht="16.8">
      <c r="A6" s="35">
        <v>2</v>
      </c>
      <c r="B6" s="35" t="s">
        <v>203</v>
      </c>
      <c r="C6" s="35" t="s">
        <v>203</v>
      </c>
      <c r="D6" s="20">
        <v>58</v>
      </c>
      <c r="E6" s="36"/>
    </row>
    <row r="7" spans="1:5" ht="16.8">
      <c r="A7" s="21"/>
      <c r="C7" s="22" t="s">
        <v>201</v>
      </c>
      <c r="D7" s="24">
        <f>SUM(D5:D6)</f>
        <v>98</v>
      </c>
      <c r="E7" s="25"/>
    </row>
    <row r="8" spans="1:5" ht="16.8">
      <c r="A8" s="21"/>
      <c r="B8" s="26"/>
      <c r="C8" s="23"/>
      <c r="D8" s="24"/>
      <c r="E8" s="25"/>
    </row>
    <row r="9" spans="1:5" ht="16.8">
      <c r="A9" s="21"/>
      <c r="B9" s="26"/>
      <c r="C9" s="23"/>
      <c r="D9" s="24"/>
      <c r="E9" s="25"/>
    </row>
    <row r="10" spans="1:5" ht="16.8">
      <c r="A10" s="27"/>
      <c r="B10" s="28"/>
      <c r="C10" s="24"/>
      <c r="D10" s="24"/>
      <c r="E10" s="29"/>
    </row>
    <row r="11" spans="1:5" ht="16.8">
      <c r="A11" s="24"/>
      <c r="B11" s="24"/>
      <c r="D11" s="24"/>
      <c r="E11" s="24"/>
    </row>
  </sheetData>
  <mergeCells count="2">
    <mergeCell ref="A1:E2"/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4294-0DF7-429D-A316-C11F34E8C685}">
  <dimension ref="A1:M51"/>
  <sheetViews>
    <sheetView tabSelected="1" topLeftCell="A31" zoomScale="70" zoomScaleNormal="70" workbookViewId="0">
      <selection activeCell="G4" sqref="G4:L6"/>
    </sheetView>
  </sheetViews>
  <sheetFormatPr defaultRowHeight="14.4"/>
  <cols>
    <col min="1" max="1" width="15.44140625" bestFit="1" customWidth="1"/>
    <col min="2" max="2" width="20" customWidth="1"/>
    <col min="3" max="3" width="33" customWidth="1"/>
    <col min="4" max="4" width="22.44140625" bestFit="1" customWidth="1"/>
    <col min="5" max="5" width="26.44140625" customWidth="1"/>
    <col min="6" max="6" width="62.44140625" customWidth="1"/>
    <col min="7" max="7" width="12.109375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22.33203125" customWidth="1"/>
    <col min="12" max="12" width="17" bestFit="1" customWidth="1"/>
    <col min="13" max="13" width="11.33203125" bestFit="1" customWidth="1"/>
  </cols>
  <sheetData>
    <row r="1" spans="1:13" ht="16.8">
      <c r="A1" s="1" t="s">
        <v>0</v>
      </c>
      <c r="B1" s="42" t="s">
        <v>1</v>
      </c>
      <c r="C1" s="43"/>
      <c r="D1" s="43"/>
      <c r="E1" s="43"/>
      <c r="F1" s="44"/>
      <c r="G1" s="2"/>
      <c r="H1" s="3"/>
      <c r="I1" s="4"/>
      <c r="J1" s="2"/>
      <c r="K1" s="4"/>
      <c r="L1" s="4"/>
      <c r="M1" s="4"/>
    </row>
    <row r="2" spans="1:13" ht="16.8">
      <c r="A2" s="1" t="s">
        <v>2</v>
      </c>
      <c r="B2" s="45" t="s">
        <v>26</v>
      </c>
      <c r="C2" s="46"/>
      <c r="D2" s="46"/>
      <c r="E2" s="46"/>
      <c r="F2" s="47"/>
      <c r="G2" s="2"/>
      <c r="H2" s="3"/>
      <c r="I2" s="4"/>
      <c r="J2" s="2"/>
      <c r="K2" s="4"/>
      <c r="L2" s="4"/>
      <c r="M2" s="4"/>
    </row>
    <row r="3" spans="1:13" ht="16.8">
      <c r="A3" s="5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2"/>
      <c r="H3" s="3"/>
      <c r="I3" s="4"/>
      <c r="J3" s="2"/>
      <c r="K3" s="4"/>
      <c r="L3" s="4"/>
      <c r="M3" s="4"/>
    </row>
    <row r="4" spans="1:13" ht="16.8">
      <c r="A4" s="7" t="s">
        <v>8</v>
      </c>
      <c r="B4" s="8">
        <v>40</v>
      </c>
      <c r="C4" s="8">
        <v>40</v>
      </c>
      <c r="D4" s="5">
        <f>COUNTIF(G11:G32,"Untested")</f>
        <v>0</v>
      </c>
      <c r="E4" s="9">
        <f>COUNTIF(G11:G32,"Blocked")</f>
        <v>0</v>
      </c>
      <c r="F4" s="5">
        <v>40</v>
      </c>
      <c r="G4" s="72" t="s">
        <v>489</v>
      </c>
      <c r="H4" s="73"/>
      <c r="I4" s="73"/>
      <c r="J4" s="73"/>
      <c r="K4" s="73"/>
      <c r="L4" s="73"/>
      <c r="M4" s="4"/>
    </row>
    <row r="5" spans="1:13" ht="16.8">
      <c r="A5" s="7" t="s">
        <v>9</v>
      </c>
      <c r="B5" s="8">
        <v>23</v>
      </c>
      <c r="C5" s="8">
        <v>0</v>
      </c>
      <c r="D5" s="5">
        <f>COUNTIF(J11:J32,"Untested")</f>
        <v>0</v>
      </c>
      <c r="E5" s="9">
        <f>COUNTIF(J11:J32,"Blocked")</f>
        <v>0</v>
      </c>
      <c r="F5" s="5">
        <v>23</v>
      </c>
      <c r="G5" s="72"/>
      <c r="H5" s="73"/>
      <c r="I5" s="73"/>
      <c r="J5" s="73"/>
      <c r="K5" s="73"/>
      <c r="L5" s="73"/>
      <c r="M5" s="4"/>
    </row>
    <row r="6" spans="1:13" ht="394.8" customHeight="1">
      <c r="A6" s="64"/>
      <c r="B6" s="65"/>
      <c r="C6" s="65"/>
      <c r="D6" s="65"/>
      <c r="E6" s="65"/>
      <c r="F6" s="66"/>
      <c r="G6" s="74"/>
      <c r="H6" s="75"/>
      <c r="I6" s="75"/>
      <c r="J6" s="75"/>
      <c r="K6" s="75"/>
      <c r="L6" s="75"/>
      <c r="M6" s="4"/>
    </row>
    <row r="7" spans="1:13" ht="16.8">
      <c r="A7" s="48" t="s">
        <v>10</v>
      </c>
      <c r="B7" s="48" t="s">
        <v>11</v>
      </c>
      <c r="C7" s="48" t="s">
        <v>12</v>
      </c>
      <c r="D7" s="48" t="s">
        <v>13</v>
      </c>
      <c r="E7" s="48" t="s">
        <v>14</v>
      </c>
      <c r="F7" s="48" t="s">
        <v>15</v>
      </c>
      <c r="G7" s="55" t="s">
        <v>16</v>
      </c>
      <c r="H7" s="56"/>
      <c r="I7" s="57"/>
      <c r="J7" s="55" t="s">
        <v>16</v>
      </c>
      <c r="K7" s="56"/>
      <c r="L7" s="57"/>
      <c r="M7" s="48" t="s">
        <v>17</v>
      </c>
    </row>
    <row r="8" spans="1:13" ht="16.8">
      <c r="A8" s="49"/>
      <c r="B8" s="49"/>
      <c r="C8" s="49"/>
      <c r="D8" s="49"/>
      <c r="E8" s="49"/>
      <c r="F8" s="49"/>
      <c r="G8" s="55" t="s">
        <v>18</v>
      </c>
      <c r="H8" s="56"/>
      <c r="I8" s="57"/>
      <c r="J8" s="55" t="s">
        <v>19</v>
      </c>
      <c r="K8" s="56"/>
      <c r="L8" s="57"/>
      <c r="M8" s="49"/>
    </row>
    <row r="9" spans="1:13" ht="16.8">
      <c r="A9" s="50"/>
      <c r="B9" s="50"/>
      <c r="C9" s="50"/>
      <c r="D9" s="50"/>
      <c r="E9" s="50"/>
      <c r="F9" s="50"/>
      <c r="G9" s="6" t="s">
        <v>20</v>
      </c>
      <c r="H9" s="10" t="s">
        <v>21</v>
      </c>
      <c r="I9" s="6" t="s">
        <v>22</v>
      </c>
      <c r="J9" s="6" t="s">
        <v>20</v>
      </c>
      <c r="K9" s="10" t="s">
        <v>21</v>
      </c>
      <c r="L9" s="6" t="s">
        <v>22</v>
      </c>
      <c r="M9" s="50"/>
    </row>
    <row r="10" spans="1:13" ht="16.8">
      <c r="A10" s="58" t="s">
        <v>475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60"/>
    </row>
    <row r="11" spans="1:13" ht="33.6">
      <c r="A11" s="13" t="s">
        <v>27</v>
      </c>
      <c r="B11" s="13" t="s">
        <v>28</v>
      </c>
      <c r="C11" s="13" t="s">
        <v>25</v>
      </c>
      <c r="D11" s="13" t="s">
        <v>25</v>
      </c>
      <c r="E11" s="13" t="s">
        <v>29</v>
      </c>
      <c r="F11" s="13" t="s">
        <v>480</v>
      </c>
      <c r="G11" s="68" t="b">
        <v>0</v>
      </c>
      <c r="H11" s="14">
        <v>46299</v>
      </c>
      <c r="I11" s="13" t="s">
        <v>478</v>
      </c>
      <c r="J11" s="15"/>
      <c r="K11" s="16"/>
      <c r="L11" s="17"/>
      <c r="M11" s="18"/>
    </row>
    <row r="12" spans="1:13" ht="33.6">
      <c r="A12" s="13" t="s">
        <v>30</v>
      </c>
      <c r="B12" s="13" t="s">
        <v>31</v>
      </c>
      <c r="C12" s="13" t="s">
        <v>25</v>
      </c>
      <c r="D12" s="13" t="s">
        <v>25</v>
      </c>
      <c r="E12" s="13" t="s">
        <v>29</v>
      </c>
      <c r="F12" s="13" t="s">
        <v>29</v>
      </c>
      <c r="G12" s="67" t="s">
        <v>23</v>
      </c>
      <c r="H12" s="14">
        <v>46299</v>
      </c>
      <c r="I12" s="13" t="s">
        <v>478</v>
      </c>
      <c r="J12" s="15"/>
      <c r="K12" s="16"/>
      <c r="L12" s="17"/>
      <c r="M12" s="18"/>
    </row>
    <row r="13" spans="1:13" ht="33.6">
      <c r="A13" s="13" t="s">
        <v>32</v>
      </c>
      <c r="B13" s="13" t="s">
        <v>33</v>
      </c>
      <c r="C13" s="13" t="s">
        <v>25</v>
      </c>
      <c r="D13" s="13" t="s">
        <v>25</v>
      </c>
      <c r="E13" s="13" t="s">
        <v>29</v>
      </c>
      <c r="F13" s="13" t="s">
        <v>29</v>
      </c>
      <c r="G13" s="67" t="s">
        <v>23</v>
      </c>
      <c r="H13" s="14">
        <v>46299</v>
      </c>
      <c r="I13" s="13" t="s">
        <v>478</v>
      </c>
      <c r="J13" s="15"/>
      <c r="K13" s="16"/>
      <c r="L13" s="17"/>
      <c r="M13" s="18"/>
    </row>
    <row r="14" spans="1:13" ht="33.6">
      <c r="A14" s="13" t="s">
        <v>34</v>
      </c>
      <c r="B14" s="13" t="s">
        <v>35</v>
      </c>
      <c r="C14" s="13" t="s">
        <v>25</v>
      </c>
      <c r="D14" s="13" t="s">
        <v>25</v>
      </c>
      <c r="E14" s="13" t="s">
        <v>29</v>
      </c>
      <c r="F14" s="13" t="s">
        <v>29</v>
      </c>
      <c r="G14" s="67" t="s">
        <v>23</v>
      </c>
      <c r="H14" s="14">
        <v>46299</v>
      </c>
      <c r="I14" s="13" t="s">
        <v>478</v>
      </c>
      <c r="J14" s="15"/>
      <c r="K14" s="16"/>
      <c r="L14" s="17"/>
      <c r="M14" s="18"/>
    </row>
    <row r="15" spans="1:13" ht="33.6">
      <c r="A15" s="13" t="s">
        <v>36</v>
      </c>
      <c r="B15" s="13" t="s">
        <v>37</v>
      </c>
      <c r="C15" s="13" t="s">
        <v>25</v>
      </c>
      <c r="D15" s="13" t="s">
        <v>25</v>
      </c>
      <c r="E15" s="13" t="s">
        <v>29</v>
      </c>
      <c r="F15" s="13" t="s">
        <v>29</v>
      </c>
      <c r="G15" s="67" t="s">
        <v>23</v>
      </c>
      <c r="H15" s="14">
        <v>46299</v>
      </c>
      <c r="I15" s="13" t="s">
        <v>478</v>
      </c>
      <c r="J15" s="15"/>
      <c r="K15" s="16"/>
      <c r="L15" s="17"/>
      <c r="M15" s="18"/>
    </row>
    <row r="16" spans="1:13" ht="33.6">
      <c r="A16" s="13" t="s">
        <v>38</v>
      </c>
      <c r="B16" s="13" t="s">
        <v>39</v>
      </c>
      <c r="C16" s="13" t="s">
        <v>25</v>
      </c>
      <c r="D16" s="13" t="s">
        <v>25</v>
      </c>
      <c r="E16" s="13" t="s">
        <v>40</v>
      </c>
      <c r="F16" s="13" t="s">
        <v>41</v>
      </c>
      <c r="G16" s="67" t="s">
        <v>23</v>
      </c>
      <c r="H16" s="14">
        <v>46299</v>
      </c>
      <c r="I16" s="13" t="s">
        <v>478</v>
      </c>
      <c r="J16" s="15"/>
      <c r="K16" s="16"/>
      <c r="L16" s="17"/>
      <c r="M16" s="18"/>
    </row>
    <row r="17" spans="1:13" ht="50.4">
      <c r="A17" s="13" t="s">
        <v>42</v>
      </c>
      <c r="B17" s="13" t="s">
        <v>43</v>
      </c>
      <c r="C17" s="13" t="s">
        <v>25</v>
      </c>
      <c r="D17" s="13" t="s">
        <v>25</v>
      </c>
      <c r="E17" s="13" t="s">
        <v>44</v>
      </c>
      <c r="F17" s="13" t="s">
        <v>45</v>
      </c>
      <c r="G17" s="67" t="s">
        <v>23</v>
      </c>
      <c r="H17" s="14">
        <v>46299</v>
      </c>
      <c r="I17" s="13" t="s">
        <v>478</v>
      </c>
      <c r="J17" s="15"/>
      <c r="K17" s="16"/>
      <c r="L17" s="17"/>
      <c r="M17" s="18"/>
    </row>
    <row r="18" spans="1:13" ht="50.4">
      <c r="A18" s="13" t="s">
        <v>46</v>
      </c>
      <c r="B18" s="13" t="s">
        <v>47</v>
      </c>
      <c r="C18" s="13" t="s">
        <v>25</v>
      </c>
      <c r="D18" s="13" t="s">
        <v>25</v>
      </c>
      <c r="E18" s="13" t="s">
        <v>48</v>
      </c>
      <c r="F18" s="13" t="s">
        <v>45</v>
      </c>
      <c r="G18" s="67" t="s">
        <v>23</v>
      </c>
      <c r="H18" s="14">
        <v>46299</v>
      </c>
      <c r="I18" s="13" t="s">
        <v>478</v>
      </c>
      <c r="J18" s="15"/>
      <c r="K18" s="16"/>
      <c r="L18" s="17"/>
      <c r="M18" s="18"/>
    </row>
    <row r="19" spans="1:13" ht="33.6">
      <c r="A19" s="13" t="s">
        <v>49</v>
      </c>
      <c r="B19" s="13" t="s">
        <v>50</v>
      </c>
      <c r="C19" s="13" t="s">
        <v>25</v>
      </c>
      <c r="D19" s="13" t="s">
        <v>25</v>
      </c>
      <c r="E19" s="13" t="s">
        <v>51</v>
      </c>
      <c r="F19" s="13" t="s">
        <v>51</v>
      </c>
      <c r="G19" s="67" t="s">
        <v>23</v>
      </c>
      <c r="H19" s="14">
        <v>46299</v>
      </c>
      <c r="I19" s="13" t="s">
        <v>478</v>
      </c>
      <c r="J19" s="15"/>
      <c r="K19" s="16"/>
      <c r="L19" s="17"/>
      <c r="M19" s="18"/>
    </row>
    <row r="20" spans="1:13" ht="33.6">
      <c r="A20" s="13" t="s">
        <v>52</v>
      </c>
      <c r="B20" s="13" t="s">
        <v>53</v>
      </c>
      <c r="C20" s="13" t="s">
        <v>25</v>
      </c>
      <c r="D20" s="13" t="s">
        <v>25</v>
      </c>
      <c r="E20" s="13" t="s">
        <v>51</v>
      </c>
      <c r="F20" s="13" t="s">
        <v>51</v>
      </c>
      <c r="G20" s="67" t="s">
        <v>23</v>
      </c>
      <c r="H20" s="14">
        <v>46299</v>
      </c>
      <c r="I20" s="13" t="s">
        <v>478</v>
      </c>
      <c r="J20" s="15"/>
      <c r="K20" s="16"/>
      <c r="L20" s="17"/>
      <c r="M20" s="18"/>
    </row>
    <row r="21" spans="1:13" ht="33.6">
      <c r="A21" s="13" t="s">
        <v>54</v>
      </c>
      <c r="B21" s="13" t="s">
        <v>55</v>
      </c>
      <c r="C21" s="13" t="s">
        <v>25</v>
      </c>
      <c r="D21" s="13" t="s">
        <v>25</v>
      </c>
      <c r="E21" s="13" t="s">
        <v>56</v>
      </c>
      <c r="F21" s="13" t="s">
        <v>56</v>
      </c>
      <c r="G21" s="67" t="s">
        <v>23</v>
      </c>
      <c r="H21" s="14">
        <v>46299</v>
      </c>
      <c r="I21" s="13" t="s">
        <v>478</v>
      </c>
      <c r="J21" s="15"/>
      <c r="K21" s="16"/>
      <c r="L21" s="17"/>
      <c r="M21" s="18"/>
    </row>
    <row r="22" spans="1:13" ht="67.2">
      <c r="A22" s="13" t="s">
        <v>57</v>
      </c>
      <c r="B22" s="13" t="s">
        <v>58</v>
      </c>
      <c r="C22" s="13" t="s">
        <v>25</v>
      </c>
      <c r="D22" s="13" t="s">
        <v>25</v>
      </c>
      <c r="E22" s="13" t="s">
        <v>59</v>
      </c>
      <c r="F22" s="13" t="s">
        <v>60</v>
      </c>
      <c r="G22" s="67" t="s">
        <v>23</v>
      </c>
      <c r="H22" s="14">
        <v>46299</v>
      </c>
      <c r="I22" s="13" t="s">
        <v>478</v>
      </c>
      <c r="J22" s="15"/>
      <c r="K22" s="16"/>
      <c r="L22" s="17"/>
      <c r="M22" s="18"/>
    </row>
    <row r="23" spans="1:13" ht="50.4">
      <c r="A23" s="13" t="s">
        <v>61</v>
      </c>
      <c r="B23" s="13" t="s">
        <v>62</v>
      </c>
      <c r="C23" s="13" t="s">
        <v>25</v>
      </c>
      <c r="D23" s="13" t="s">
        <v>25</v>
      </c>
      <c r="E23" s="13" t="s">
        <v>63</v>
      </c>
      <c r="F23" s="13" t="s">
        <v>64</v>
      </c>
      <c r="G23" s="67" t="s">
        <v>23</v>
      </c>
      <c r="H23" s="14">
        <v>46299</v>
      </c>
      <c r="I23" s="13" t="s">
        <v>478</v>
      </c>
      <c r="J23" s="15"/>
      <c r="K23" s="16"/>
      <c r="L23" s="17"/>
      <c r="M23" s="18"/>
    </row>
    <row r="24" spans="1:13" ht="33.6">
      <c r="A24" s="13" t="s">
        <v>65</v>
      </c>
      <c r="B24" s="13" t="s">
        <v>66</v>
      </c>
      <c r="C24" s="13" t="s">
        <v>25</v>
      </c>
      <c r="D24" s="13" t="s">
        <v>25</v>
      </c>
      <c r="E24" s="13" t="s">
        <v>67</v>
      </c>
      <c r="F24" s="13" t="s">
        <v>68</v>
      </c>
      <c r="G24" s="67" t="s">
        <v>23</v>
      </c>
      <c r="H24" s="14">
        <v>46299</v>
      </c>
      <c r="I24" s="13" t="s">
        <v>478</v>
      </c>
      <c r="J24" s="15"/>
      <c r="K24" s="16"/>
      <c r="L24" s="17"/>
      <c r="M24" s="18"/>
    </row>
    <row r="25" spans="1:13" ht="33.6">
      <c r="A25" s="13" t="s">
        <v>69</v>
      </c>
      <c r="B25" s="13" t="s">
        <v>70</v>
      </c>
      <c r="C25" s="13" t="s">
        <v>25</v>
      </c>
      <c r="D25" s="13" t="s">
        <v>25</v>
      </c>
      <c r="E25" s="13" t="s">
        <v>29</v>
      </c>
      <c r="F25" s="13" t="s">
        <v>29</v>
      </c>
      <c r="G25" s="67" t="s">
        <v>23</v>
      </c>
      <c r="H25" s="14">
        <v>46299</v>
      </c>
      <c r="I25" s="13" t="s">
        <v>478</v>
      </c>
      <c r="J25" s="15"/>
      <c r="K25" s="16"/>
      <c r="L25" s="17"/>
      <c r="M25" s="18"/>
    </row>
    <row r="26" spans="1:13" ht="33.6">
      <c r="A26" s="13" t="s">
        <v>71</v>
      </c>
      <c r="B26" s="13" t="s">
        <v>72</v>
      </c>
      <c r="C26" s="13" t="s">
        <v>25</v>
      </c>
      <c r="D26" s="13" t="s">
        <v>25</v>
      </c>
      <c r="E26" s="13" t="s">
        <v>29</v>
      </c>
      <c r="F26" s="13" t="s">
        <v>29</v>
      </c>
      <c r="G26" s="67" t="s">
        <v>23</v>
      </c>
      <c r="H26" s="14">
        <v>46299</v>
      </c>
      <c r="I26" s="13" t="s">
        <v>478</v>
      </c>
      <c r="J26" s="15"/>
      <c r="K26" s="16"/>
      <c r="L26" s="17"/>
      <c r="M26" s="18"/>
    </row>
    <row r="27" spans="1:13" ht="50.4">
      <c r="A27" s="13" t="s">
        <v>73</v>
      </c>
      <c r="B27" s="13" t="s">
        <v>74</v>
      </c>
      <c r="C27" s="13" t="s">
        <v>25</v>
      </c>
      <c r="D27" s="13" t="s">
        <v>25</v>
      </c>
      <c r="E27" s="13" t="s">
        <v>75</v>
      </c>
      <c r="F27" s="13" t="s">
        <v>76</v>
      </c>
      <c r="G27" s="67" t="s">
        <v>23</v>
      </c>
      <c r="H27" s="14">
        <v>46299</v>
      </c>
      <c r="I27" s="13" t="s">
        <v>478</v>
      </c>
      <c r="J27" s="15"/>
      <c r="K27" s="16"/>
      <c r="L27" s="17"/>
      <c r="M27" s="18"/>
    </row>
    <row r="28" spans="1:13" ht="16.8">
      <c r="A28" s="51" t="s">
        <v>476</v>
      </c>
      <c r="B28" s="52"/>
      <c r="C28" s="52"/>
      <c r="D28" s="52"/>
      <c r="E28" s="52"/>
      <c r="F28" s="52"/>
      <c r="G28" s="52"/>
      <c r="H28" s="52"/>
      <c r="I28" s="52"/>
      <c r="J28" s="53"/>
      <c r="K28" s="53"/>
      <c r="L28" s="53"/>
      <c r="M28" s="54"/>
    </row>
    <row r="29" spans="1:13" ht="50.4">
      <c r="A29" s="13" t="s">
        <v>77</v>
      </c>
      <c r="B29" s="13" t="s">
        <v>78</v>
      </c>
      <c r="C29" s="13" t="s">
        <v>79</v>
      </c>
      <c r="D29" s="13" t="s">
        <v>80</v>
      </c>
      <c r="E29" s="13" t="s">
        <v>81</v>
      </c>
      <c r="F29" s="13" t="s">
        <v>82</v>
      </c>
      <c r="G29" s="67" t="s">
        <v>23</v>
      </c>
      <c r="H29" s="14">
        <v>46299</v>
      </c>
      <c r="I29" s="13" t="s">
        <v>478</v>
      </c>
      <c r="J29" s="13"/>
      <c r="K29" s="13"/>
      <c r="L29" s="13"/>
      <c r="M29" s="11"/>
    </row>
    <row r="30" spans="1:13" ht="33.6">
      <c r="A30" s="13" t="s">
        <v>83</v>
      </c>
      <c r="B30" s="13" t="s">
        <v>84</v>
      </c>
      <c r="C30" s="13" t="s">
        <v>85</v>
      </c>
      <c r="D30" s="13" t="s">
        <v>86</v>
      </c>
      <c r="E30" s="13" t="s">
        <v>87</v>
      </c>
      <c r="F30" s="13" t="s">
        <v>82</v>
      </c>
      <c r="G30" s="67" t="s">
        <v>23</v>
      </c>
      <c r="H30" s="14">
        <v>46299</v>
      </c>
      <c r="I30" s="13" t="s">
        <v>478</v>
      </c>
      <c r="J30" s="13"/>
      <c r="K30" s="13"/>
      <c r="L30" s="13"/>
      <c r="M30" s="11"/>
    </row>
    <row r="31" spans="1:13" ht="33.6">
      <c r="A31" s="13" t="s">
        <v>88</v>
      </c>
      <c r="B31" s="13" t="s">
        <v>89</v>
      </c>
      <c r="C31" s="13" t="s">
        <v>90</v>
      </c>
      <c r="D31" s="13" t="s">
        <v>91</v>
      </c>
      <c r="E31" s="13" t="s">
        <v>92</v>
      </c>
      <c r="F31" s="13" t="s">
        <v>82</v>
      </c>
      <c r="G31" s="68" t="b">
        <v>0</v>
      </c>
      <c r="H31" s="14">
        <v>46299</v>
      </c>
      <c r="I31" s="13" t="s">
        <v>478</v>
      </c>
      <c r="J31" s="13"/>
      <c r="K31" s="13"/>
      <c r="L31" s="13"/>
      <c r="M31" s="11"/>
    </row>
    <row r="32" spans="1:13" ht="50.4">
      <c r="A32" s="13" t="s">
        <v>93</v>
      </c>
      <c r="B32" s="13" t="s">
        <v>94</v>
      </c>
      <c r="C32" s="13" t="s">
        <v>95</v>
      </c>
      <c r="D32" s="13" t="s">
        <v>96</v>
      </c>
      <c r="E32" s="13" t="s">
        <v>97</v>
      </c>
      <c r="F32" s="13" t="s">
        <v>82</v>
      </c>
      <c r="G32" s="68" t="b">
        <v>0</v>
      </c>
      <c r="H32" s="14">
        <v>46299</v>
      </c>
      <c r="I32" s="13" t="s">
        <v>478</v>
      </c>
      <c r="J32" s="13"/>
      <c r="K32" s="13"/>
      <c r="L32" s="13"/>
      <c r="M32" s="11"/>
    </row>
    <row r="33" spans="1:13" ht="33.6">
      <c r="A33" s="13" t="s">
        <v>98</v>
      </c>
      <c r="B33" s="13" t="s">
        <v>99</v>
      </c>
      <c r="C33" s="13" t="s">
        <v>100</v>
      </c>
      <c r="D33" s="13" t="s">
        <v>101</v>
      </c>
      <c r="E33" s="13" t="s">
        <v>102</v>
      </c>
      <c r="F33" s="13" t="s">
        <v>82</v>
      </c>
      <c r="G33" s="68" t="b">
        <v>0</v>
      </c>
      <c r="H33" s="14">
        <v>46299</v>
      </c>
      <c r="I33" s="13" t="s">
        <v>478</v>
      </c>
      <c r="J33" s="13"/>
      <c r="K33" s="13"/>
      <c r="L33" s="13"/>
      <c r="M33" s="11"/>
    </row>
    <row r="34" spans="1:13" ht="50.4">
      <c r="A34" s="13" t="s">
        <v>103</v>
      </c>
      <c r="B34" s="13" t="s">
        <v>104</v>
      </c>
      <c r="C34" s="13" t="s">
        <v>105</v>
      </c>
      <c r="D34" s="13" t="s">
        <v>106</v>
      </c>
      <c r="E34" s="13" t="s">
        <v>107</v>
      </c>
      <c r="F34" s="13" t="s">
        <v>82</v>
      </c>
      <c r="G34" s="68" t="b">
        <v>0</v>
      </c>
      <c r="H34" s="14">
        <v>46299</v>
      </c>
      <c r="I34" s="13" t="s">
        <v>478</v>
      </c>
      <c r="J34" s="13"/>
      <c r="K34" s="13"/>
      <c r="L34" s="13"/>
      <c r="M34" s="12"/>
    </row>
    <row r="35" spans="1:13" ht="67.2">
      <c r="A35" s="13" t="s">
        <v>108</v>
      </c>
      <c r="B35" s="13" t="s">
        <v>109</v>
      </c>
      <c r="C35" s="13" t="s">
        <v>110</v>
      </c>
      <c r="D35" s="13" t="s">
        <v>111</v>
      </c>
      <c r="E35" s="13" t="s">
        <v>112</v>
      </c>
      <c r="F35" s="13" t="s">
        <v>113</v>
      </c>
      <c r="G35" s="68" t="b">
        <v>0</v>
      </c>
      <c r="H35" s="14">
        <v>46299</v>
      </c>
      <c r="I35" s="13" t="s">
        <v>478</v>
      </c>
      <c r="J35" s="13"/>
      <c r="K35" s="13"/>
      <c r="L35" s="13"/>
      <c r="M35" s="12"/>
    </row>
    <row r="36" spans="1:13" ht="50.4">
      <c r="A36" s="13" t="s">
        <v>114</v>
      </c>
      <c r="B36" s="13" t="s">
        <v>115</v>
      </c>
      <c r="C36" s="13" t="s">
        <v>116</v>
      </c>
      <c r="D36" s="13" t="s">
        <v>117</v>
      </c>
      <c r="E36" s="13" t="s">
        <v>118</v>
      </c>
      <c r="F36" s="13" t="s">
        <v>82</v>
      </c>
      <c r="G36" s="68" t="b">
        <v>0</v>
      </c>
      <c r="H36" s="14">
        <v>46299</v>
      </c>
      <c r="I36" s="13" t="s">
        <v>478</v>
      </c>
      <c r="J36" s="13"/>
      <c r="K36" s="13"/>
      <c r="L36" s="13"/>
      <c r="M36" s="12"/>
    </row>
    <row r="37" spans="1:13" ht="50.4">
      <c r="A37" s="13" t="s">
        <v>119</v>
      </c>
      <c r="B37" s="13" t="s">
        <v>120</v>
      </c>
      <c r="C37" s="13" t="s">
        <v>121</v>
      </c>
      <c r="D37" s="13" t="s">
        <v>111</v>
      </c>
      <c r="E37" s="13" t="s">
        <v>122</v>
      </c>
      <c r="F37" s="13" t="s">
        <v>123</v>
      </c>
      <c r="G37" s="68" t="b">
        <v>0</v>
      </c>
      <c r="H37" s="14">
        <v>46299</v>
      </c>
      <c r="I37" s="13" t="s">
        <v>478</v>
      </c>
      <c r="J37" s="13"/>
      <c r="K37" s="13"/>
      <c r="L37" s="13"/>
      <c r="M37" s="12"/>
    </row>
    <row r="38" spans="1:13" ht="67.2">
      <c r="A38" s="13" t="s">
        <v>124</v>
      </c>
      <c r="B38" s="13" t="s">
        <v>125</v>
      </c>
      <c r="C38" s="13" t="s">
        <v>126</v>
      </c>
      <c r="D38" s="13" t="s">
        <v>111</v>
      </c>
      <c r="E38" s="13" t="s">
        <v>127</v>
      </c>
      <c r="F38" s="13" t="s">
        <v>128</v>
      </c>
      <c r="G38" s="68" t="b">
        <v>0</v>
      </c>
      <c r="H38" s="14">
        <v>46299</v>
      </c>
      <c r="I38" s="13" t="s">
        <v>478</v>
      </c>
      <c r="J38" s="13"/>
      <c r="K38" s="13"/>
      <c r="L38" s="13"/>
      <c r="M38" s="12"/>
    </row>
    <row r="39" spans="1:13" ht="84">
      <c r="A39" s="13" t="s">
        <v>129</v>
      </c>
      <c r="B39" s="13" t="s">
        <v>130</v>
      </c>
      <c r="C39" s="13" t="s">
        <v>131</v>
      </c>
      <c r="D39" s="13" t="s">
        <v>132</v>
      </c>
      <c r="E39" s="13" t="s">
        <v>133</v>
      </c>
      <c r="F39" s="13" t="s">
        <v>134</v>
      </c>
      <c r="G39" s="68" t="b">
        <v>0</v>
      </c>
      <c r="H39" s="14">
        <v>46299</v>
      </c>
      <c r="I39" s="13" t="s">
        <v>478</v>
      </c>
      <c r="J39" s="13"/>
      <c r="K39" s="13"/>
      <c r="L39" s="13"/>
      <c r="M39" s="12"/>
    </row>
    <row r="40" spans="1:13" ht="67.2">
      <c r="A40" s="13" t="s">
        <v>135</v>
      </c>
      <c r="B40" s="13" t="s">
        <v>136</v>
      </c>
      <c r="C40" s="13" t="s">
        <v>137</v>
      </c>
      <c r="D40" s="13" t="s">
        <v>96</v>
      </c>
      <c r="E40" s="13" t="s">
        <v>138</v>
      </c>
      <c r="F40" s="13" t="s">
        <v>139</v>
      </c>
      <c r="G40" s="68" t="b">
        <v>0</v>
      </c>
      <c r="H40" s="14">
        <v>46299</v>
      </c>
      <c r="I40" s="13" t="s">
        <v>478</v>
      </c>
      <c r="J40" s="13"/>
      <c r="K40" s="13"/>
      <c r="L40" s="13"/>
      <c r="M40" s="12"/>
    </row>
    <row r="41" spans="1:13" ht="50.4">
      <c r="A41" s="13" t="s">
        <v>140</v>
      </c>
      <c r="B41" s="13" t="s">
        <v>141</v>
      </c>
      <c r="C41" s="13" t="s">
        <v>142</v>
      </c>
      <c r="D41" s="13" t="s">
        <v>91</v>
      </c>
      <c r="E41" s="13" t="s">
        <v>143</v>
      </c>
      <c r="F41" s="13" t="s">
        <v>82</v>
      </c>
      <c r="G41" s="68" t="b">
        <v>0</v>
      </c>
      <c r="H41" s="14">
        <v>46299</v>
      </c>
      <c r="I41" s="13" t="s">
        <v>478</v>
      </c>
      <c r="J41" s="13"/>
      <c r="K41" s="13"/>
      <c r="L41" s="13"/>
    </row>
    <row r="42" spans="1:13" ht="50.4">
      <c r="A42" s="13" t="s">
        <v>144</v>
      </c>
      <c r="B42" s="13" t="s">
        <v>145</v>
      </c>
      <c r="C42" s="13" t="s">
        <v>146</v>
      </c>
      <c r="D42" s="13" t="s">
        <v>101</v>
      </c>
      <c r="E42" s="13" t="s">
        <v>147</v>
      </c>
      <c r="F42" s="13" t="s">
        <v>82</v>
      </c>
      <c r="G42" s="68" t="b">
        <v>0</v>
      </c>
      <c r="H42" s="14">
        <v>46299</v>
      </c>
      <c r="I42" s="13" t="s">
        <v>478</v>
      </c>
      <c r="J42" s="13"/>
      <c r="K42" s="13"/>
      <c r="L42" s="13"/>
    </row>
    <row r="43" spans="1:13" ht="50.4">
      <c r="A43" s="13" t="s">
        <v>148</v>
      </c>
      <c r="B43" s="13" t="s">
        <v>149</v>
      </c>
      <c r="C43" s="13" t="s">
        <v>150</v>
      </c>
      <c r="D43" s="13" t="s">
        <v>151</v>
      </c>
      <c r="E43" s="13" t="s">
        <v>152</v>
      </c>
      <c r="F43" s="13" t="s">
        <v>153</v>
      </c>
      <c r="G43" s="68" t="b">
        <v>0</v>
      </c>
      <c r="H43" s="14">
        <v>46299</v>
      </c>
      <c r="I43" s="13" t="s">
        <v>478</v>
      </c>
      <c r="J43" s="13"/>
      <c r="K43" s="13"/>
      <c r="L43" s="13"/>
    </row>
    <row r="44" spans="1:13" ht="33.6">
      <c r="A44" s="13" t="s">
        <v>154</v>
      </c>
      <c r="B44" s="13" t="s">
        <v>155</v>
      </c>
      <c r="C44" s="13" t="s">
        <v>156</v>
      </c>
      <c r="D44" s="13" t="s">
        <v>157</v>
      </c>
      <c r="E44" s="13" t="s">
        <v>158</v>
      </c>
      <c r="F44" s="13" t="s">
        <v>153</v>
      </c>
      <c r="G44" s="68" t="b">
        <v>0</v>
      </c>
      <c r="H44" s="14">
        <v>46299</v>
      </c>
      <c r="I44" s="13" t="s">
        <v>478</v>
      </c>
      <c r="J44" s="13"/>
      <c r="K44" s="13"/>
      <c r="L44" s="13"/>
    </row>
    <row r="45" spans="1:13" ht="84">
      <c r="A45" s="13" t="s">
        <v>159</v>
      </c>
      <c r="B45" s="13" t="s">
        <v>160</v>
      </c>
      <c r="C45" s="13" t="s">
        <v>161</v>
      </c>
      <c r="D45" s="13" t="s">
        <v>162</v>
      </c>
      <c r="E45" s="13" t="s">
        <v>163</v>
      </c>
      <c r="F45" s="13" t="s">
        <v>164</v>
      </c>
      <c r="G45" s="68" t="b">
        <v>0</v>
      </c>
      <c r="H45" s="14">
        <v>46299</v>
      </c>
      <c r="I45" s="13" t="s">
        <v>478</v>
      </c>
      <c r="J45" s="13"/>
      <c r="K45" s="13"/>
      <c r="L45" s="13"/>
    </row>
    <row r="46" spans="1:13" ht="67.2">
      <c r="A46" s="13" t="s">
        <v>165</v>
      </c>
      <c r="B46" s="13" t="s">
        <v>166</v>
      </c>
      <c r="C46" s="13" t="s">
        <v>167</v>
      </c>
      <c r="D46" s="13" t="s">
        <v>168</v>
      </c>
      <c r="E46" s="13" t="s">
        <v>169</v>
      </c>
      <c r="F46" s="13" t="s">
        <v>170</v>
      </c>
      <c r="G46" s="68" t="b">
        <v>0</v>
      </c>
      <c r="H46" s="14">
        <v>46299</v>
      </c>
      <c r="I46" s="13" t="s">
        <v>478</v>
      </c>
      <c r="J46" s="13"/>
      <c r="K46" s="13"/>
      <c r="L46" s="13"/>
    </row>
    <row r="47" spans="1:13" ht="84">
      <c r="A47" s="13" t="s">
        <v>171</v>
      </c>
      <c r="B47" s="13" t="s">
        <v>172</v>
      </c>
      <c r="C47" s="13" t="s">
        <v>173</v>
      </c>
      <c r="D47" s="13" t="s">
        <v>168</v>
      </c>
      <c r="E47" s="13" t="s">
        <v>174</v>
      </c>
      <c r="F47" s="13" t="s">
        <v>170</v>
      </c>
      <c r="G47" s="68" t="b">
        <v>0</v>
      </c>
      <c r="H47" s="14">
        <v>46299</v>
      </c>
      <c r="I47" s="13" t="s">
        <v>478</v>
      </c>
      <c r="J47" s="13"/>
      <c r="K47" s="13"/>
      <c r="L47" s="13"/>
    </row>
    <row r="48" spans="1:13" ht="50.4">
      <c r="A48" s="13" t="s">
        <v>175</v>
      </c>
      <c r="B48" s="13" t="s">
        <v>176</v>
      </c>
      <c r="C48" s="13" t="s">
        <v>177</v>
      </c>
      <c r="D48" s="13" t="s">
        <v>178</v>
      </c>
      <c r="E48" s="13" t="s">
        <v>179</v>
      </c>
      <c r="F48" s="13" t="s">
        <v>180</v>
      </c>
      <c r="G48" s="68" t="b">
        <v>0</v>
      </c>
      <c r="H48" s="14">
        <v>46299</v>
      </c>
      <c r="I48" s="13" t="s">
        <v>478</v>
      </c>
      <c r="J48" s="13"/>
      <c r="K48" s="13"/>
      <c r="L48" s="13"/>
    </row>
    <row r="49" spans="1:12" ht="50.4">
      <c r="A49" s="13" t="s">
        <v>181</v>
      </c>
      <c r="B49" s="13" t="s">
        <v>182</v>
      </c>
      <c r="C49" s="13" t="s">
        <v>183</v>
      </c>
      <c r="D49" s="13" t="s">
        <v>111</v>
      </c>
      <c r="E49" s="13" t="s">
        <v>184</v>
      </c>
      <c r="F49" s="13" t="s">
        <v>82</v>
      </c>
      <c r="G49" s="68" t="b">
        <v>0</v>
      </c>
      <c r="H49" s="14">
        <v>46299</v>
      </c>
      <c r="I49" s="13" t="s">
        <v>478</v>
      </c>
      <c r="J49" s="13"/>
      <c r="K49" s="13"/>
      <c r="L49" s="13"/>
    </row>
    <row r="50" spans="1:12" ht="50.4">
      <c r="A50" s="13" t="s">
        <v>185</v>
      </c>
      <c r="B50" s="13" t="s">
        <v>186</v>
      </c>
      <c r="C50" s="13" t="s">
        <v>187</v>
      </c>
      <c r="D50" s="13" t="s">
        <v>188</v>
      </c>
      <c r="E50" s="13" t="s">
        <v>189</v>
      </c>
      <c r="F50" s="13" t="s">
        <v>190</v>
      </c>
      <c r="G50" s="68" t="b">
        <v>0</v>
      </c>
      <c r="H50" s="14">
        <v>46299</v>
      </c>
      <c r="I50" s="13" t="s">
        <v>478</v>
      </c>
      <c r="J50" s="13"/>
      <c r="K50" s="13"/>
      <c r="L50" s="13"/>
    </row>
    <row r="51" spans="1:12" ht="33.6">
      <c r="A51" s="13" t="s">
        <v>191</v>
      </c>
      <c r="B51" s="13" t="s">
        <v>192</v>
      </c>
      <c r="C51" s="13" t="s">
        <v>193</v>
      </c>
      <c r="D51" s="13" t="s">
        <v>194</v>
      </c>
      <c r="E51" s="13" t="s">
        <v>195</v>
      </c>
      <c r="F51" s="13" t="s">
        <v>123</v>
      </c>
      <c r="G51" s="68" t="b">
        <v>0</v>
      </c>
      <c r="H51" s="14">
        <v>46299</v>
      </c>
      <c r="I51" s="13" t="s">
        <v>478</v>
      </c>
      <c r="J51" s="13"/>
      <c r="K51" s="13"/>
      <c r="L51" s="13"/>
    </row>
  </sheetData>
  <mergeCells count="17">
    <mergeCell ref="G4:L6"/>
    <mergeCell ref="A28:M28"/>
    <mergeCell ref="G7:I7"/>
    <mergeCell ref="J7:L7"/>
    <mergeCell ref="M7:M9"/>
    <mergeCell ref="G8:I8"/>
    <mergeCell ref="J8:L8"/>
    <mergeCell ref="A10:M10"/>
    <mergeCell ref="B1:F1"/>
    <mergeCell ref="B2:F2"/>
    <mergeCell ref="A7:A9"/>
    <mergeCell ref="B7:B9"/>
    <mergeCell ref="C7:C9"/>
    <mergeCell ref="D7:D9"/>
    <mergeCell ref="E7:E9"/>
    <mergeCell ref="F7:F9"/>
    <mergeCell ref="A6:F6"/>
  </mergeCells>
  <phoneticPr fontId="9" type="noConversion"/>
  <dataValidations count="1">
    <dataValidation type="list" operator="equal" allowBlank="1" showErrorMessage="1" promptTitle="dfdf" sqref="J11:J27" xr:uid="{FF757EA6-FE8C-4D58-B083-9503F7CABC51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1422-9825-43BE-BA70-162A8E626DCD}">
  <dimension ref="A1:M69"/>
  <sheetViews>
    <sheetView zoomScale="70" zoomScaleNormal="70" workbookViewId="0">
      <selection activeCell="F4" sqref="F4"/>
    </sheetView>
  </sheetViews>
  <sheetFormatPr defaultRowHeight="14.4"/>
  <cols>
    <col min="1" max="1" width="15.44140625" bestFit="1" customWidth="1"/>
    <col min="2" max="2" width="25.21875" customWidth="1"/>
    <col min="3" max="3" width="33" customWidth="1"/>
    <col min="4" max="4" width="22.44140625" bestFit="1" customWidth="1"/>
    <col min="5" max="5" width="26.44140625" customWidth="1"/>
    <col min="6" max="6" width="37.33203125" bestFit="1" customWidth="1"/>
    <col min="7" max="7" width="12.109375" style="70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22.33203125" customWidth="1"/>
    <col min="12" max="12" width="17" bestFit="1" customWidth="1"/>
    <col min="13" max="13" width="11.33203125" bestFit="1" customWidth="1"/>
  </cols>
  <sheetData>
    <row r="1" spans="1:13" ht="16.8">
      <c r="A1" s="1" t="s">
        <v>0</v>
      </c>
      <c r="B1" s="42" t="s">
        <v>1</v>
      </c>
      <c r="C1" s="43"/>
      <c r="D1" s="43"/>
      <c r="E1" s="43"/>
      <c r="F1" s="44"/>
      <c r="G1" s="69"/>
      <c r="H1" s="3"/>
      <c r="I1" s="4"/>
      <c r="J1" s="2"/>
      <c r="K1" s="4"/>
      <c r="L1" s="4"/>
      <c r="M1" s="4"/>
    </row>
    <row r="2" spans="1:13" ht="16.8">
      <c r="A2" s="1" t="s">
        <v>2</v>
      </c>
      <c r="B2" s="45" t="s">
        <v>204</v>
      </c>
      <c r="C2" s="46"/>
      <c r="D2" s="46"/>
      <c r="E2" s="46"/>
      <c r="F2" s="47"/>
      <c r="G2" s="69"/>
      <c r="H2" s="3"/>
      <c r="I2" s="4"/>
      <c r="J2" s="2"/>
      <c r="K2" s="4"/>
      <c r="L2" s="4"/>
      <c r="M2" s="4"/>
    </row>
    <row r="3" spans="1:13" ht="16.8">
      <c r="A3" s="5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9"/>
      <c r="H3" s="3"/>
      <c r="I3" s="4"/>
      <c r="J3" s="2"/>
      <c r="K3" s="4"/>
      <c r="L3" s="4"/>
      <c r="M3" s="4"/>
    </row>
    <row r="4" spans="1:13" ht="16.8">
      <c r="A4" s="7" t="s">
        <v>8</v>
      </c>
      <c r="B4" s="8">
        <v>58</v>
      </c>
      <c r="C4" s="8">
        <v>6</v>
      </c>
      <c r="D4" s="5">
        <f>COUNTIF(G11:G33,"Untested")</f>
        <v>0</v>
      </c>
      <c r="E4" s="9">
        <f>COUNTIF(G11:G33,"Blocked")</f>
        <v>0</v>
      </c>
      <c r="F4" s="5">
        <v>58</v>
      </c>
      <c r="G4" s="69"/>
      <c r="H4" s="3"/>
      <c r="I4" s="4"/>
      <c r="J4" s="2"/>
      <c r="K4" s="4"/>
      <c r="L4" s="4"/>
      <c r="M4" s="4"/>
    </row>
    <row r="5" spans="1:13" ht="16.8">
      <c r="A5" s="7" t="s">
        <v>9</v>
      </c>
      <c r="B5" s="8">
        <v>40</v>
      </c>
      <c r="C5" s="8">
        <v>0</v>
      </c>
      <c r="D5" s="5">
        <f>COUNTIF(J11:J33,"Untested")</f>
        <v>0</v>
      </c>
      <c r="E5" s="9">
        <f>COUNTIF(J11:J33,"Blocked")</f>
        <v>0</v>
      </c>
      <c r="F5" s="5">
        <v>40</v>
      </c>
      <c r="G5" s="69"/>
      <c r="H5" s="3"/>
      <c r="I5" s="4"/>
      <c r="J5" s="2"/>
      <c r="K5" s="4"/>
      <c r="L5" s="4"/>
      <c r="M5" s="4"/>
    </row>
    <row r="6" spans="1:13" ht="408.6" customHeight="1">
      <c r="A6" s="65"/>
      <c r="B6" s="65"/>
      <c r="C6" s="65"/>
      <c r="D6" s="65"/>
      <c r="E6" s="65"/>
      <c r="F6" s="65"/>
      <c r="G6" s="69"/>
      <c r="H6" s="3"/>
      <c r="I6" s="4"/>
      <c r="J6" s="2"/>
      <c r="K6" s="4"/>
      <c r="L6" s="4"/>
      <c r="M6" s="4"/>
    </row>
    <row r="7" spans="1:13" ht="16.8">
      <c r="A7" s="48" t="s">
        <v>10</v>
      </c>
      <c r="B7" s="48" t="s">
        <v>11</v>
      </c>
      <c r="C7" s="48" t="s">
        <v>12</v>
      </c>
      <c r="D7" s="48" t="s">
        <v>13</v>
      </c>
      <c r="E7" s="48" t="s">
        <v>14</v>
      </c>
      <c r="F7" s="48" t="s">
        <v>15</v>
      </c>
      <c r="G7" s="55" t="s">
        <v>16</v>
      </c>
      <c r="H7" s="56"/>
      <c r="I7" s="57"/>
      <c r="J7" s="55" t="s">
        <v>16</v>
      </c>
      <c r="K7" s="56"/>
      <c r="L7" s="57"/>
      <c r="M7" s="48" t="s">
        <v>17</v>
      </c>
    </row>
    <row r="8" spans="1:13" ht="16.8">
      <c r="A8" s="49"/>
      <c r="B8" s="49"/>
      <c r="C8" s="49"/>
      <c r="D8" s="49"/>
      <c r="E8" s="49"/>
      <c r="F8" s="49"/>
      <c r="G8" s="55" t="s">
        <v>18</v>
      </c>
      <c r="H8" s="56"/>
      <c r="I8" s="57"/>
      <c r="J8" s="55" t="s">
        <v>19</v>
      </c>
      <c r="K8" s="56"/>
      <c r="L8" s="57"/>
      <c r="M8" s="49"/>
    </row>
    <row r="9" spans="1:13" ht="16.8">
      <c r="A9" s="50"/>
      <c r="B9" s="50"/>
      <c r="C9" s="50"/>
      <c r="D9" s="50"/>
      <c r="E9" s="50"/>
      <c r="F9" s="50"/>
      <c r="G9" s="71" t="s">
        <v>20</v>
      </c>
      <c r="H9" s="10" t="s">
        <v>21</v>
      </c>
      <c r="I9" s="6" t="s">
        <v>22</v>
      </c>
      <c r="J9" s="6" t="s">
        <v>20</v>
      </c>
      <c r="K9" s="10" t="s">
        <v>21</v>
      </c>
      <c r="L9" s="6" t="s">
        <v>22</v>
      </c>
      <c r="M9" s="50"/>
    </row>
    <row r="10" spans="1:13" ht="16.8">
      <c r="A10" s="58" t="s">
        <v>473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60"/>
    </row>
    <row r="11" spans="1:13" ht="33.6">
      <c r="A11" s="13" t="s">
        <v>205</v>
      </c>
      <c r="B11" s="13" t="s">
        <v>206</v>
      </c>
      <c r="C11" s="13" t="s">
        <v>25</v>
      </c>
      <c r="D11" s="13" t="s">
        <v>25</v>
      </c>
      <c r="E11" s="13" t="s">
        <v>207</v>
      </c>
      <c r="F11" s="13" t="s">
        <v>29</v>
      </c>
      <c r="G11" s="67" t="s">
        <v>23</v>
      </c>
      <c r="H11" s="14">
        <v>46330</v>
      </c>
      <c r="I11" s="13" t="s">
        <v>479</v>
      </c>
      <c r="J11" s="15"/>
      <c r="K11" s="16"/>
      <c r="L11" s="17"/>
      <c r="M11" s="18"/>
    </row>
    <row r="12" spans="1:13" ht="50.4">
      <c r="A12" s="13" t="s">
        <v>208</v>
      </c>
      <c r="B12" s="13" t="s">
        <v>209</v>
      </c>
      <c r="C12" s="13" t="s">
        <v>25</v>
      </c>
      <c r="D12" s="13" t="s">
        <v>25</v>
      </c>
      <c r="E12" s="13" t="s">
        <v>210</v>
      </c>
      <c r="F12" s="13" t="s">
        <v>211</v>
      </c>
      <c r="G12" s="67" t="s">
        <v>23</v>
      </c>
      <c r="H12" s="14">
        <v>46330</v>
      </c>
      <c r="I12" s="13" t="s">
        <v>479</v>
      </c>
      <c r="J12" s="15"/>
      <c r="K12" s="16"/>
      <c r="L12" s="17"/>
      <c r="M12" s="18"/>
    </row>
    <row r="13" spans="1:13" ht="33.6">
      <c r="A13" s="13" t="s">
        <v>212</v>
      </c>
      <c r="B13" s="13" t="s">
        <v>213</v>
      </c>
      <c r="C13" s="13" t="s">
        <v>25</v>
      </c>
      <c r="D13" s="13" t="s">
        <v>25</v>
      </c>
      <c r="E13" s="13" t="s">
        <v>214</v>
      </c>
      <c r="F13" s="13" t="s">
        <v>211</v>
      </c>
      <c r="G13" s="67" t="s">
        <v>23</v>
      </c>
      <c r="H13" s="14">
        <v>46330</v>
      </c>
      <c r="I13" s="13" t="s">
        <v>479</v>
      </c>
      <c r="J13" s="15"/>
      <c r="K13" s="16"/>
      <c r="L13" s="17"/>
      <c r="M13" s="18"/>
    </row>
    <row r="14" spans="1:13" ht="50.4">
      <c r="A14" s="13" t="s">
        <v>215</v>
      </c>
      <c r="B14" s="13" t="s">
        <v>216</v>
      </c>
      <c r="C14" s="13" t="s">
        <v>25</v>
      </c>
      <c r="D14" s="13" t="s">
        <v>25</v>
      </c>
      <c r="E14" s="13" t="s">
        <v>217</v>
      </c>
      <c r="F14" s="13" t="s">
        <v>211</v>
      </c>
      <c r="G14" s="67" t="s">
        <v>23</v>
      </c>
      <c r="H14" s="14">
        <v>46330</v>
      </c>
      <c r="I14" s="13" t="s">
        <v>479</v>
      </c>
      <c r="J14" s="15"/>
      <c r="K14" s="16"/>
      <c r="L14" s="17"/>
      <c r="M14" s="18"/>
    </row>
    <row r="15" spans="1:13" ht="33.6">
      <c r="A15" s="13" t="s">
        <v>218</v>
      </c>
      <c r="B15" s="13" t="s">
        <v>219</v>
      </c>
      <c r="C15" s="13" t="s">
        <v>25</v>
      </c>
      <c r="D15" s="13" t="s">
        <v>25</v>
      </c>
      <c r="E15" s="13" t="s">
        <v>220</v>
      </c>
      <c r="F15" s="13" t="s">
        <v>211</v>
      </c>
      <c r="G15" s="67" t="s">
        <v>482</v>
      </c>
      <c r="H15" s="14">
        <v>46330</v>
      </c>
      <c r="I15" s="13" t="s">
        <v>479</v>
      </c>
      <c r="J15" s="15"/>
      <c r="K15" s="16"/>
      <c r="L15" s="17"/>
      <c r="M15" s="18"/>
    </row>
    <row r="16" spans="1:13" ht="50.4">
      <c r="A16" s="13" t="s">
        <v>221</v>
      </c>
      <c r="B16" s="13" t="s">
        <v>222</v>
      </c>
      <c r="C16" s="13" t="s">
        <v>25</v>
      </c>
      <c r="D16" s="13" t="s">
        <v>25</v>
      </c>
      <c r="E16" s="13" t="s">
        <v>223</v>
      </c>
      <c r="F16" s="13" t="s">
        <v>481</v>
      </c>
      <c r="G16" s="68" t="b">
        <v>0</v>
      </c>
      <c r="H16" s="14">
        <v>46330</v>
      </c>
      <c r="I16" s="13" t="s">
        <v>479</v>
      </c>
      <c r="J16" s="15"/>
      <c r="K16" s="16"/>
      <c r="L16" s="17"/>
      <c r="M16" s="18"/>
    </row>
    <row r="17" spans="1:13" ht="50.4">
      <c r="A17" s="13" t="s">
        <v>224</v>
      </c>
      <c r="B17" s="13" t="s">
        <v>225</v>
      </c>
      <c r="C17" s="13" t="s">
        <v>25</v>
      </c>
      <c r="D17" s="13" t="s">
        <v>25</v>
      </c>
      <c r="E17" s="13" t="s">
        <v>226</v>
      </c>
      <c r="F17" s="13" t="s">
        <v>211</v>
      </c>
      <c r="G17" s="67" t="s">
        <v>23</v>
      </c>
      <c r="H17" s="14">
        <v>46330</v>
      </c>
      <c r="I17" s="13" t="s">
        <v>479</v>
      </c>
      <c r="J17" s="15"/>
      <c r="K17" s="16"/>
      <c r="L17" s="17"/>
      <c r="M17" s="18"/>
    </row>
    <row r="18" spans="1:13" ht="33.6">
      <c r="A18" s="13" t="s">
        <v>227</v>
      </c>
      <c r="B18" s="13" t="s">
        <v>228</v>
      </c>
      <c r="C18" s="13" t="s">
        <v>25</v>
      </c>
      <c r="D18" s="13" t="s">
        <v>25</v>
      </c>
      <c r="E18" s="13" t="s">
        <v>229</v>
      </c>
      <c r="F18" s="13" t="s">
        <v>41</v>
      </c>
      <c r="G18" s="67" t="s">
        <v>23</v>
      </c>
      <c r="H18" s="14">
        <v>46330</v>
      </c>
      <c r="I18" s="13" t="s">
        <v>479</v>
      </c>
      <c r="J18" s="15"/>
      <c r="K18" s="16"/>
      <c r="L18" s="17"/>
      <c r="M18" s="18"/>
    </row>
    <row r="19" spans="1:13" ht="33.6">
      <c r="A19" s="13" t="s">
        <v>230</v>
      </c>
      <c r="B19" s="13" t="s">
        <v>231</v>
      </c>
      <c r="C19" s="13" t="s">
        <v>25</v>
      </c>
      <c r="D19" s="13" t="s">
        <v>25</v>
      </c>
      <c r="E19" s="13" t="s">
        <v>232</v>
      </c>
      <c r="F19" s="13" t="s">
        <v>41</v>
      </c>
      <c r="G19" s="67" t="s">
        <v>23</v>
      </c>
      <c r="H19" s="14">
        <v>46330</v>
      </c>
      <c r="I19" s="13" t="s">
        <v>479</v>
      </c>
      <c r="J19" s="15"/>
      <c r="K19" s="16"/>
      <c r="L19" s="17"/>
      <c r="M19" s="18"/>
    </row>
    <row r="20" spans="1:13" ht="84">
      <c r="A20" s="13" t="s">
        <v>233</v>
      </c>
      <c r="B20" s="13" t="s">
        <v>234</v>
      </c>
      <c r="C20" s="13" t="s">
        <v>25</v>
      </c>
      <c r="D20" s="13" t="s">
        <v>25</v>
      </c>
      <c r="E20" s="13" t="s">
        <v>235</v>
      </c>
      <c r="F20" s="13" t="s">
        <v>236</v>
      </c>
      <c r="G20" s="67" t="s">
        <v>23</v>
      </c>
      <c r="H20" s="14">
        <v>46330</v>
      </c>
      <c r="I20" s="13" t="s">
        <v>479</v>
      </c>
      <c r="J20" s="15"/>
      <c r="K20" s="16"/>
      <c r="L20" s="17"/>
      <c r="M20" s="18"/>
    </row>
    <row r="21" spans="1:13" ht="33.6">
      <c r="A21" s="13" t="s">
        <v>237</v>
      </c>
      <c r="B21" s="13" t="s">
        <v>238</v>
      </c>
      <c r="C21" s="13" t="s">
        <v>25</v>
      </c>
      <c r="D21" s="13" t="s">
        <v>25</v>
      </c>
      <c r="E21" s="13" t="s">
        <v>239</v>
      </c>
      <c r="F21" s="13" t="s">
        <v>240</v>
      </c>
      <c r="G21" s="67" t="s">
        <v>23</v>
      </c>
      <c r="H21" s="14">
        <v>46330</v>
      </c>
      <c r="I21" s="13" t="s">
        <v>479</v>
      </c>
      <c r="J21" s="15"/>
      <c r="K21" s="16"/>
      <c r="L21" s="17"/>
      <c r="M21" s="18"/>
    </row>
    <row r="22" spans="1:13" ht="75.599999999999994" customHeight="1">
      <c r="A22" s="13" t="s">
        <v>241</v>
      </c>
      <c r="B22" s="13" t="s">
        <v>242</v>
      </c>
      <c r="C22" s="13" t="s">
        <v>25</v>
      </c>
      <c r="D22" s="13" t="s">
        <v>25</v>
      </c>
      <c r="E22" s="13" t="s">
        <v>243</v>
      </c>
      <c r="F22" s="13" t="s">
        <v>240</v>
      </c>
      <c r="G22" s="67" t="s">
        <v>23</v>
      </c>
      <c r="H22" s="14">
        <v>46330</v>
      </c>
      <c r="I22" s="13" t="s">
        <v>479</v>
      </c>
      <c r="J22" s="15"/>
      <c r="K22" s="16"/>
      <c r="L22" s="17"/>
      <c r="M22" s="18"/>
    </row>
    <row r="23" spans="1:13" ht="50.4">
      <c r="A23" s="13" t="s">
        <v>244</v>
      </c>
      <c r="B23" s="13" t="s">
        <v>245</v>
      </c>
      <c r="C23" s="13" t="s">
        <v>25</v>
      </c>
      <c r="D23" s="13" t="s">
        <v>25</v>
      </c>
      <c r="E23" s="13" t="s">
        <v>246</v>
      </c>
      <c r="F23" s="13" t="s">
        <v>247</v>
      </c>
      <c r="G23" s="67" t="s">
        <v>23</v>
      </c>
      <c r="H23" s="14">
        <v>46330</v>
      </c>
      <c r="I23" s="13" t="s">
        <v>479</v>
      </c>
      <c r="J23" s="15"/>
      <c r="K23" s="16"/>
      <c r="L23" s="17"/>
      <c r="M23" s="18"/>
    </row>
    <row r="24" spans="1:13" ht="67.2">
      <c r="A24" s="13" t="s">
        <v>248</v>
      </c>
      <c r="B24" s="13" t="s">
        <v>249</v>
      </c>
      <c r="C24" s="13" t="s">
        <v>25</v>
      </c>
      <c r="D24" s="13" t="s">
        <v>25</v>
      </c>
      <c r="E24" s="13" t="s">
        <v>250</v>
      </c>
      <c r="F24" s="13" t="s">
        <v>251</v>
      </c>
      <c r="G24" s="67" t="s">
        <v>23</v>
      </c>
      <c r="H24" s="14">
        <v>46330</v>
      </c>
      <c r="I24" s="13" t="s">
        <v>479</v>
      </c>
      <c r="J24" s="15"/>
      <c r="K24" s="16"/>
      <c r="L24" s="17"/>
      <c r="M24" s="18"/>
    </row>
    <row r="25" spans="1:13" ht="84">
      <c r="A25" s="13" t="s">
        <v>252</v>
      </c>
      <c r="B25" s="13" t="s">
        <v>253</v>
      </c>
      <c r="C25" s="13" t="s">
        <v>25</v>
      </c>
      <c r="D25" s="13" t="s">
        <v>25</v>
      </c>
      <c r="E25" s="13" t="s">
        <v>254</v>
      </c>
      <c r="F25" s="13" t="s">
        <v>64</v>
      </c>
      <c r="G25" s="67" t="s">
        <v>23</v>
      </c>
      <c r="H25" s="14">
        <v>46330</v>
      </c>
      <c r="I25" s="13" t="s">
        <v>479</v>
      </c>
      <c r="J25" s="15"/>
      <c r="K25" s="16"/>
      <c r="L25" s="17"/>
      <c r="M25" s="18"/>
    </row>
    <row r="26" spans="1:13" ht="50.4">
      <c r="A26" s="13" t="s">
        <v>255</v>
      </c>
      <c r="B26" s="13" t="s">
        <v>256</v>
      </c>
      <c r="C26" s="13" t="s">
        <v>25</v>
      </c>
      <c r="D26" s="13" t="s">
        <v>25</v>
      </c>
      <c r="E26" s="13" t="s">
        <v>207</v>
      </c>
      <c r="F26" s="13" t="s">
        <v>257</v>
      </c>
      <c r="G26" s="67" t="s">
        <v>23</v>
      </c>
      <c r="H26" s="14">
        <v>46330</v>
      </c>
      <c r="I26" s="13" t="s">
        <v>479</v>
      </c>
      <c r="J26" s="15"/>
      <c r="K26" s="16"/>
      <c r="L26" s="17"/>
      <c r="M26" s="18"/>
    </row>
    <row r="27" spans="1:13" ht="67.2">
      <c r="A27" s="13" t="s">
        <v>258</v>
      </c>
      <c r="B27" s="13" t="s">
        <v>259</v>
      </c>
      <c r="C27" s="13" t="s">
        <v>25</v>
      </c>
      <c r="D27" s="13" t="s">
        <v>25</v>
      </c>
      <c r="E27" s="13" t="s">
        <v>260</v>
      </c>
      <c r="F27" s="13" t="s">
        <v>261</v>
      </c>
      <c r="G27" s="67" t="s">
        <v>23</v>
      </c>
      <c r="H27" s="14">
        <v>46330</v>
      </c>
      <c r="I27" s="13" t="s">
        <v>479</v>
      </c>
      <c r="J27" s="15"/>
      <c r="K27" s="16"/>
      <c r="L27" s="17"/>
      <c r="M27" s="18"/>
    </row>
    <row r="28" spans="1:13" ht="50.4">
      <c r="A28" s="13" t="s">
        <v>262</v>
      </c>
      <c r="B28" s="13" t="s">
        <v>263</v>
      </c>
      <c r="C28" s="13" t="s">
        <v>25</v>
      </c>
      <c r="D28" s="13" t="s">
        <v>25</v>
      </c>
      <c r="E28" s="13" t="s">
        <v>264</v>
      </c>
      <c r="F28" s="13" t="s">
        <v>265</v>
      </c>
      <c r="G28" s="67" t="s">
        <v>23</v>
      </c>
      <c r="H28" s="14">
        <v>46330</v>
      </c>
      <c r="I28" s="13" t="s">
        <v>479</v>
      </c>
      <c r="J28" s="15"/>
      <c r="K28" s="16"/>
      <c r="L28" s="17"/>
      <c r="M28" s="18"/>
    </row>
    <row r="29" spans="1:13" ht="16.8">
      <c r="A29" s="51" t="s">
        <v>474</v>
      </c>
      <c r="B29" s="52"/>
      <c r="C29" s="52"/>
      <c r="D29" s="52"/>
      <c r="E29" s="52"/>
      <c r="F29" s="52"/>
      <c r="G29" s="52"/>
      <c r="H29" s="52"/>
      <c r="I29" s="52"/>
      <c r="J29" s="53"/>
      <c r="K29" s="53"/>
      <c r="L29" s="53"/>
      <c r="M29" s="54"/>
    </row>
    <row r="30" spans="1:13" ht="67.2" customHeight="1">
      <c r="A30" s="13" t="s">
        <v>266</v>
      </c>
      <c r="B30" s="13" t="s">
        <v>267</v>
      </c>
      <c r="C30" s="13" t="s">
        <v>268</v>
      </c>
      <c r="D30" s="13" t="s">
        <v>24</v>
      </c>
      <c r="E30" s="13" t="s">
        <v>269</v>
      </c>
      <c r="F30" s="13" t="s">
        <v>82</v>
      </c>
      <c r="G30" s="67" t="s">
        <v>23</v>
      </c>
      <c r="H30" s="14">
        <v>46330</v>
      </c>
      <c r="I30" s="13" t="s">
        <v>479</v>
      </c>
      <c r="J30" s="37"/>
      <c r="K30" s="13"/>
      <c r="L30" s="13"/>
      <c r="M30" s="11"/>
    </row>
    <row r="31" spans="1:13" ht="100.8" customHeight="1">
      <c r="A31" s="13" t="s">
        <v>270</v>
      </c>
      <c r="B31" s="13" t="s">
        <v>271</v>
      </c>
      <c r="C31" s="13" t="s">
        <v>272</v>
      </c>
      <c r="D31" s="13" t="s">
        <v>273</v>
      </c>
      <c r="E31" s="13" t="s">
        <v>274</v>
      </c>
      <c r="F31" s="13" t="s">
        <v>275</v>
      </c>
      <c r="G31" s="67" t="s">
        <v>23</v>
      </c>
      <c r="H31" s="14">
        <v>46330</v>
      </c>
      <c r="I31" s="13" t="s">
        <v>479</v>
      </c>
      <c r="J31" s="37"/>
      <c r="K31" s="13"/>
      <c r="L31" s="13"/>
      <c r="M31" s="11"/>
    </row>
    <row r="32" spans="1:13" ht="67.2" customHeight="1">
      <c r="A32" s="13" t="s">
        <v>276</v>
      </c>
      <c r="B32" s="13" t="s">
        <v>277</v>
      </c>
      <c r="C32" s="13" t="s">
        <v>278</v>
      </c>
      <c r="D32" s="13" t="s">
        <v>111</v>
      </c>
      <c r="E32" s="13" t="s">
        <v>483</v>
      </c>
      <c r="F32" s="13" t="s">
        <v>123</v>
      </c>
      <c r="G32" s="67" t="s">
        <v>23</v>
      </c>
      <c r="H32" s="14">
        <v>46330</v>
      </c>
      <c r="I32" s="13" t="s">
        <v>479</v>
      </c>
      <c r="J32" s="37"/>
      <c r="K32" s="13"/>
      <c r="L32" s="13"/>
      <c r="M32" s="11"/>
    </row>
    <row r="33" spans="1:13" ht="67.2" customHeight="1">
      <c r="A33" s="13" t="s">
        <v>279</v>
      </c>
      <c r="B33" s="13" t="s">
        <v>280</v>
      </c>
      <c r="C33" s="13" t="s">
        <v>281</v>
      </c>
      <c r="D33" s="13" t="s">
        <v>282</v>
      </c>
      <c r="E33" s="13" t="s">
        <v>283</v>
      </c>
      <c r="F33" s="13" t="s">
        <v>128</v>
      </c>
      <c r="G33" s="67" t="s">
        <v>23</v>
      </c>
      <c r="H33" s="14">
        <v>46330</v>
      </c>
      <c r="I33" s="13" t="s">
        <v>479</v>
      </c>
      <c r="J33" s="37"/>
      <c r="K33" s="13"/>
      <c r="L33" s="13"/>
      <c r="M33" s="11"/>
    </row>
    <row r="34" spans="1:13" ht="67.2" customHeight="1">
      <c r="A34" s="13" t="s">
        <v>284</v>
      </c>
      <c r="B34" s="13" t="s">
        <v>285</v>
      </c>
      <c r="C34" s="13" t="s">
        <v>286</v>
      </c>
      <c r="D34" s="13" t="s">
        <v>287</v>
      </c>
      <c r="E34" s="13" t="s">
        <v>288</v>
      </c>
      <c r="F34" s="13" t="s">
        <v>128</v>
      </c>
      <c r="G34" s="67" t="s">
        <v>23</v>
      </c>
      <c r="H34" s="14">
        <v>46330</v>
      </c>
      <c r="I34" s="13" t="s">
        <v>479</v>
      </c>
      <c r="J34" s="37"/>
      <c r="K34" s="13"/>
      <c r="L34" s="13"/>
      <c r="M34" s="11"/>
    </row>
    <row r="35" spans="1:13" ht="67.2" customHeight="1">
      <c r="A35" s="13" t="s">
        <v>289</v>
      </c>
      <c r="B35" s="13" t="s">
        <v>290</v>
      </c>
      <c r="C35" s="13" t="s">
        <v>291</v>
      </c>
      <c r="D35" s="13" t="s">
        <v>292</v>
      </c>
      <c r="E35" s="13" t="s">
        <v>293</v>
      </c>
      <c r="F35" s="13" t="s">
        <v>128</v>
      </c>
      <c r="G35" s="67" t="s">
        <v>23</v>
      </c>
      <c r="H35" s="14">
        <v>46330</v>
      </c>
      <c r="I35" s="13" t="s">
        <v>479</v>
      </c>
      <c r="J35" s="37"/>
      <c r="K35" s="13"/>
      <c r="L35" s="13"/>
      <c r="M35" s="12"/>
    </row>
    <row r="36" spans="1:13" ht="117.6" customHeight="1">
      <c r="A36" s="13" t="s">
        <v>294</v>
      </c>
      <c r="B36" s="13" t="s">
        <v>295</v>
      </c>
      <c r="C36" s="13" t="s">
        <v>296</v>
      </c>
      <c r="D36" s="13" t="s">
        <v>297</v>
      </c>
      <c r="E36" s="13" t="s">
        <v>298</v>
      </c>
      <c r="F36" s="13" t="s">
        <v>128</v>
      </c>
      <c r="G36" s="67" t="s">
        <v>23</v>
      </c>
      <c r="H36" s="14">
        <v>46330</v>
      </c>
      <c r="I36" s="13" t="s">
        <v>479</v>
      </c>
      <c r="J36" s="37"/>
      <c r="K36" s="13"/>
      <c r="L36" s="13"/>
      <c r="M36" s="12"/>
    </row>
    <row r="37" spans="1:13" ht="33.6">
      <c r="A37" s="13" t="s">
        <v>299</v>
      </c>
      <c r="B37" s="13" t="s">
        <v>300</v>
      </c>
      <c r="C37" s="13" t="s">
        <v>301</v>
      </c>
      <c r="D37" s="13" t="s">
        <v>302</v>
      </c>
      <c r="E37" s="13" t="s">
        <v>303</v>
      </c>
      <c r="F37" s="13" t="s">
        <v>304</v>
      </c>
      <c r="G37" s="67" t="s">
        <v>23</v>
      </c>
      <c r="H37" s="14">
        <v>46330</v>
      </c>
      <c r="I37" s="13" t="s">
        <v>479</v>
      </c>
      <c r="J37" s="37"/>
      <c r="K37" s="13"/>
      <c r="L37" s="13"/>
      <c r="M37" s="12"/>
    </row>
    <row r="38" spans="1:13" ht="67.2" customHeight="1">
      <c r="A38" s="13" t="s">
        <v>305</v>
      </c>
      <c r="B38" s="13" t="s">
        <v>306</v>
      </c>
      <c r="C38" s="13" t="s">
        <v>307</v>
      </c>
      <c r="D38" s="13" t="s">
        <v>308</v>
      </c>
      <c r="E38" s="13" t="s">
        <v>309</v>
      </c>
      <c r="F38" s="13" t="s">
        <v>153</v>
      </c>
      <c r="G38" s="67" t="s">
        <v>23</v>
      </c>
      <c r="H38" s="14">
        <v>46330</v>
      </c>
      <c r="I38" s="13" t="s">
        <v>479</v>
      </c>
      <c r="J38" s="38"/>
      <c r="K38" s="39"/>
      <c r="L38" s="39"/>
      <c r="M38" s="40"/>
    </row>
    <row r="39" spans="1:13" ht="84">
      <c r="A39" s="13" t="s">
        <v>310</v>
      </c>
      <c r="B39" s="13" t="s">
        <v>311</v>
      </c>
      <c r="C39" s="13" t="s">
        <v>312</v>
      </c>
      <c r="D39" s="13" t="s">
        <v>313</v>
      </c>
      <c r="E39" s="13" t="s">
        <v>314</v>
      </c>
      <c r="F39" s="13" t="s">
        <v>315</v>
      </c>
      <c r="G39" s="67" t="s">
        <v>23</v>
      </c>
      <c r="H39" s="14">
        <v>46330</v>
      </c>
      <c r="I39" s="13" t="s">
        <v>479</v>
      </c>
      <c r="J39" s="13"/>
      <c r="K39" s="13"/>
      <c r="L39" s="13"/>
      <c r="M39" s="41"/>
    </row>
    <row r="40" spans="1:13" ht="67.2">
      <c r="A40" s="13" t="s">
        <v>316</v>
      </c>
      <c r="B40" s="13" t="s">
        <v>317</v>
      </c>
      <c r="C40" s="13" t="s">
        <v>318</v>
      </c>
      <c r="D40" s="13" t="s">
        <v>319</v>
      </c>
      <c r="E40" s="13" t="s">
        <v>320</v>
      </c>
      <c r="F40" s="13" t="s">
        <v>321</v>
      </c>
      <c r="G40" s="67" t="s">
        <v>23</v>
      </c>
      <c r="H40" s="14">
        <v>46330</v>
      </c>
      <c r="I40" s="13" t="s">
        <v>479</v>
      </c>
      <c r="J40" s="13"/>
      <c r="K40" s="13"/>
      <c r="L40" s="13"/>
      <c r="M40" s="41"/>
    </row>
    <row r="41" spans="1:13" ht="67.2" customHeight="1">
      <c r="A41" s="13" t="s">
        <v>322</v>
      </c>
      <c r="B41" s="13" t="s">
        <v>323</v>
      </c>
      <c r="C41" s="13" t="s">
        <v>324</v>
      </c>
      <c r="D41" s="13" t="s">
        <v>319</v>
      </c>
      <c r="E41" s="13" t="s">
        <v>325</v>
      </c>
      <c r="F41" s="13" t="s">
        <v>321</v>
      </c>
      <c r="G41" s="67" t="s">
        <v>23</v>
      </c>
      <c r="H41" s="14">
        <v>46330</v>
      </c>
      <c r="I41" s="13" t="s">
        <v>479</v>
      </c>
      <c r="J41" s="13"/>
      <c r="K41" s="13"/>
      <c r="L41" s="13"/>
      <c r="M41" s="41"/>
    </row>
    <row r="42" spans="1:13" ht="50.4">
      <c r="A42" s="13" t="s">
        <v>326</v>
      </c>
      <c r="B42" s="13" t="s">
        <v>327</v>
      </c>
      <c r="C42" s="13" t="s">
        <v>328</v>
      </c>
      <c r="D42" s="13" t="s">
        <v>319</v>
      </c>
      <c r="E42" s="13" t="s">
        <v>329</v>
      </c>
      <c r="F42" s="13" t="s">
        <v>321</v>
      </c>
      <c r="G42" s="67" t="s">
        <v>23</v>
      </c>
      <c r="H42" s="14">
        <v>46330</v>
      </c>
      <c r="I42" s="13" t="s">
        <v>479</v>
      </c>
      <c r="J42" s="13"/>
      <c r="K42" s="13"/>
      <c r="L42" s="13"/>
      <c r="M42" s="41"/>
    </row>
    <row r="43" spans="1:13" ht="50.4" customHeight="1">
      <c r="A43" s="13" t="s">
        <v>330</v>
      </c>
      <c r="B43" s="13" t="s">
        <v>331</v>
      </c>
      <c r="C43" s="13" t="s">
        <v>332</v>
      </c>
      <c r="D43" s="13" t="s">
        <v>319</v>
      </c>
      <c r="E43" s="13" t="s">
        <v>484</v>
      </c>
      <c r="F43" s="13" t="s">
        <v>333</v>
      </c>
      <c r="G43" s="67" t="s">
        <v>23</v>
      </c>
      <c r="H43" s="14">
        <v>46330</v>
      </c>
      <c r="I43" s="13" t="s">
        <v>479</v>
      </c>
      <c r="J43" s="13"/>
      <c r="K43" s="13"/>
      <c r="L43" s="13"/>
      <c r="M43" s="41"/>
    </row>
    <row r="44" spans="1:13" ht="50.4" customHeight="1">
      <c r="A44" s="13" t="s">
        <v>334</v>
      </c>
      <c r="B44" s="13" t="s">
        <v>335</v>
      </c>
      <c r="C44" s="13" t="s">
        <v>336</v>
      </c>
      <c r="D44" s="13" t="s">
        <v>319</v>
      </c>
      <c r="E44" s="13" t="s">
        <v>337</v>
      </c>
      <c r="F44" s="13" t="s">
        <v>338</v>
      </c>
      <c r="G44" s="67" t="s">
        <v>23</v>
      </c>
      <c r="H44" s="14">
        <v>46330</v>
      </c>
      <c r="I44" s="13" t="s">
        <v>479</v>
      </c>
      <c r="J44" s="13"/>
      <c r="K44" s="13"/>
      <c r="L44" s="13"/>
      <c r="M44" s="41"/>
    </row>
    <row r="45" spans="1:13" ht="33.6">
      <c r="A45" s="13" t="s">
        <v>339</v>
      </c>
      <c r="B45" s="13" t="s">
        <v>340</v>
      </c>
      <c r="C45" s="13" t="s">
        <v>341</v>
      </c>
      <c r="D45" s="13" t="s">
        <v>319</v>
      </c>
      <c r="E45" s="13" t="s">
        <v>342</v>
      </c>
      <c r="F45" s="13" t="s">
        <v>338</v>
      </c>
      <c r="G45" s="67" t="s">
        <v>23</v>
      </c>
      <c r="H45" s="14">
        <v>46330</v>
      </c>
      <c r="I45" s="13" t="s">
        <v>479</v>
      </c>
      <c r="J45" s="13"/>
      <c r="K45" s="13"/>
      <c r="L45" s="13"/>
      <c r="M45" s="41"/>
    </row>
    <row r="46" spans="1:13" ht="50.4">
      <c r="A46" s="13" t="s">
        <v>343</v>
      </c>
      <c r="B46" s="13" t="s">
        <v>344</v>
      </c>
      <c r="C46" s="13" t="s">
        <v>345</v>
      </c>
      <c r="D46" s="13" t="s">
        <v>319</v>
      </c>
      <c r="E46" s="13" t="s">
        <v>346</v>
      </c>
      <c r="F46" s="13" t="s">
        <v>347</v>
      </c>
      <c r="G46" s="67" t="s">
        <v>23</v>
      </c>
      <c r="H46" s="14">
        <v>46330</v>
      </c>
      <c r="I46" s="13" t="s">
        <v>479</v>
      </c>
      <c r="J46" s="13"/>
      <c r="K46" s="13"/>
      <c r="L46" s="13"/>
      <c r="M46" s="41"/>
    </row>
    <row r="47" spans="1:13" ht="50.4">
      <c r="A47" s="13" t="s">
        <v>348</v>
      </c>
      <c r="B47" s="13" t="s">
        <v>349</v>
      </c>
      <c r="C47" s="13" t="s">
        <v>350</v>
      </c>
      <c r="D47" s="13" t="s">
        <v>351</v>
      </c>
      <c r="E47" s="13" t="s">
        <v>352</v>
      </c>
      <c r="F47" s="13" t="s">
        <v>347</v>
      </c>
      <c r="G47" s="67" t="s">
        <v>23</v>
      </c>
      <c r="H47" s="14">
        <v>46330</v>
      </c>
      <c r="I47" s="13" t="s">
        <v>479</v>
      </c>
      <c r="J47" s="13"/>
      <c r="K47" s="13"/>
      <c r="L47" s="13"/>
      <c r="M47" s="41"/>
    </row>
    <row r="48" spans="1:13" ht="50.4">
      <c r="A48" s="13" t="s">
        <v>353</v>
      </c>
      <c r="B48" s="13" t="s">
        <v>354</v>
      </c>
      <c r="C48" s="13" t="s">
        <v>355</v>
      </c>
      <c r="D48" s="13" t="s">
        <v>356</v>
      </c>
      <c r="E48" s="13" t="s">
        <v>357</v>
      </c>
      <c r="F48" s="13" t="s">
        <v>358</v>
      </c>
      <c r="G48" s="67" t="s">
        <v>23</v>
      </c>
      <c r="H48" s="14">
        <v>46330</v>
      </c>
      <c r="I48" s="13" t="s">
        <v>479</v>
      </c>
      <c r="J48" s="13"/>
      <c r="K48" s="13"/>
      <c r="L48" s="13"/>
      <c r="M48" s="41"/>
    </row>
    <row r="49" spans="1:13" ht="50.4" customHeight="1">
      <c r="A49" s="13" t="s">
        <v>359</v>
      </c>
      <c r="B49" s="13" t="s">
        <v>360</v>
      </c>
      <c r="C49" s="13" t="s">
        <v>361</v>
      </c>
      <c r="D49" s="13" t="s">
        <v>362</v>
      </c>
      <c r="E49" s="13" t="s">
        <v>363</v>
      </c>
      <c r="F49" s="13" t="s">
        <v>364</v>
      </c>
      <c r="G49" s="67" t="s">
        <v>23</v>
      </c>
      <c r="H49" s="14">
        <v>46330</v>
      </c>
      <c r="I49" s="13" t="s">
        <v>479</v>
      </c>
      <c r="J49" s="13"/>
      <c r="K49" s="13"/>
      <c r="L49" s="13"/>
      <c r="M49" s="41"/>
    </row>
    <row r="50" spans="1:13" ht="50.4">
      <c r="A50" s="13" t="s">
        <v>365</v>
      </c>
      <c r="B50" s="13" t="s">
        <v>366</v>
      </c>
      <c r="C50" s="13" t="s">
        <v>367</v>
      </c>
      <c r="D50" s="13" t="s">
        <v>368</v>
      </c>
      <c r="E50" s="13" t="s">
        <v>369</v>
      </c>
      <c r="F50" s="13" t="s">
        <v>485</v>
      </c>
      <c r="G50" s="68" t="b">
        <v>0</v>
      </c>
      <c r="H50" s="14">
        <v>46330</v>
      </c>
      <c r="I50" s="13" t="s">
        <v>479</v>
      </c>
      <c r="J50" s="13"/>
      <c r="K50" s="13"/>
      <c r="L50" s="13"/>
      <c r="M50" s="41"/>
    </row>
    <row r="51" spans="1:13" ht="50.4">
      <c r="A51" s="13" t="s">
        <v>370</v>
      </c>
      <c r="B51" s="13" t="s">
        <v>371</v>
      </c>
      <c r="C51" s="13" t="s">
        <v>372</v>
      </c>
      <c r="D51" s="13" t="s">
        <v>319</v>
      </c>
      <c r="E51" s="13" t="s">
        <v>373</v>
      </c>
      <c r="F51" s="13" t="s">
        <v>374</v>
      </c>
      <c r="G51" s="67" t="s">
        <v>23</v>
      </c>
      <c r="H51" s="14">
        <v>46330</v>
      </c>
      <c r="I51" s="13" t="s">
        <v>479</v>
      </c>
      <c r="J51" s="13"/>
      <c r="K51" s="13"/>
      <c r="L51" s="13"/>
      <c r="M51" s="41"/>
    </row>
    <row r="52" spans="1:13" ht="67.2">
      <c r="A52" s="13" t="s">
        <v>375</v>
      </c>
      <c r="B52" s="13" t="s">
        <v>376</v>
      </c>
      <c r="C52" s="13" t="s">
        <v>377</v>
      </c>
      <c r="D52" s="13" t="s">
        <v>378</v>
      </c>
      <c r="E52" s="13" t="s">
        <v>379</v>
      </c>
      <c r="F52" s="13" t="s">
        <v>486</v>
      </c>
      <c r="G52" s="67" t="s">
        <v>23</v>
      </c>
      <c r="H52" s="14">
        <v>46330</v>
      </c>
      <c r="I52" s="13" t="s">
        <v>479</v>
      </c>
      <c r="J52" s="13"/>
      <c r="K52" s="13"/>
      <c r="L52" s="13"/>
      <c r="M52" s="41"/>
    </row>
    <row r="53" spans="1:13" ht="50.4">
      <c r="A53" s="13" t="s">
        <v>380</v>
      </c>
      <c r="B53" s="13" t="s">
        <v>381</v>
      </c>
      <c r="C53" s="13" t="s">
        <v>382</v>
      </c>
      <c r="D53" s="13" t="s">
        <v>383</v>
      </c>
      <c r="E53" s="13" t="s">
        <v>384</v>
      </c>
      <c r="F53" s="13" t="s">
        <v>385</v>
      </c>
      <c r="G53" s="67" t="s">
        <v>23</v>
      </c>
      <c r="H53" s="14">
        <v>46330</v>
      </c>
      <c r="I53" s="13" t="s">
        <v>479</v>
      </c>
      <c r="J53" s="41"/>
      <c r="K53" s="41"/>
      <c r="L53" s="41"/>
      <c r="M53" s="41"/>
    </row>
    <row r="54" spans="1:13" ht="33.6">
      <c r="A54" s="13" t="s">
        <v>386</v>
      </c>
      <c r="B54" s="13" t="s">
        <v>387</v>
      </c>
      <c r="C54" s="13" t="s">
        <v>388</v>
      </c>
      <c r="D54" s="13" t="s">
        <v>389</v>
      </c>
      <c r="E54" s="13" t="s">
        <v>390</v>
      </c>
      <c r="F54" s="13" t="s">
        <v>391</v>
      </c>
      <c r="G54" s="67" t="s">
        <v>23</v>
      </c>
      <c r="H54" s="14">
        <v>46330</v>
      </c>
      <c r="I54" s="13" t="s">
        <v>479</v>
      </c>
      <c r="J54" s="41"/>
      <c r="K54" s="41"/>
      <c r="L54" s="41"/>
      <c r="M54" s="41"/>
    </row>
    <row r="55" spans="1:13" ht="67.2">
      <c r="A55" s="13" t="s">
        <v>392</v>
      </c>
      <c r="B55" s="13" t="s">
        <v>393</v>
      </c>
      <c r="C55" s="13" t="s">
        <v>394</v>
      </c>
      <c r="D55" s="13" t="s">
        <v>395</v>
      </c>
      <c r="E55" s="13" t="s">
        <v>396</v>
      </c>
      <c r="F55" s="13" t="s">
        <v>397</v>
      </c>
      <c r="G55" s="67" t="s">
        <v>23</v>
      </c>
      <c r="H55" s="14">
        <v>46330</v>
      </c>
      <c r="I55" s="13" t="s">
        <v>479</v>
      </c>
      <c r="J55" s="41"/>
      <c r="K55" s="41"/>
      <c r="L55" s="41"/>
      <c r="M55" s="41"/>
    </row>
    <row r="56" spans="1:13" ht="50.4">
      <c r="A56" s="13" t="s">
        <v>398</v>
      </c>
      <c r="B56" s="13" t="s">
        <v>399</v>
      </c>
      <c r="C56" s="13" t="s">
        <v>400</v>
      </c>
      <c r="D56" s="13" t="s">
        <v>401</v>
      </c>
      <c r="E56" s="13" t="s">
        <v>402</v>
      </c>
      <c r="F56" s="13" t="s">
        <v>397</v>
      </c>
      <c r="G56" s="67" t="s">
        <v>23</v>
      </c>
      <c r="H56" s="14">
        <v>46330</v>
      </c>
      <c r="I56" s="13" t="s">
        <v>479</v>
      </c>
      <c r="J56" s="41"/>
      <c r="K56" s="41"/>
      <c r="L56" s="41"/>
      <c r="M56" s="41"/>
    </row>
    <row r="57" spans="1:13" ht="67.2">
      <c r="A57" s="13" t="s">
        <v>403</v>
      </c>
      <c r="B57" s="13" t="s">
        <v>404</v>
      </c>
      <c r="C57" s="13" t="s">
        <v>405</v>
      </c>
      <c r="D57" s="13" t="s">
        <v>406</v>
      </c>
      <c r="E57" s="13" t="s">
        <v>407</v>
      </c>
      <c r="F57" s="13" t="s">
        <v>487</v>
      </c>
      <c r="G57" s="68" t="b">
        <v>0</v>
      </c>
      <c r="H57" s="14">
        <v>46330</v>
      </c>
      <c r="I57" s="13" t="s">
        <v>479</v>
      </c>
      <c r="J57" s="41"/>
      <c r="K57" s="41"/>
      <c r="L57" s="41"/>
      <c r="M57" s="41"/>
    </row>
    <row r="58" spans="1:13" ht="50.4">
      <c r="A58" s="13" t="s">
        <v>408</v>
      </c>
      <c r="B58" s="13" t="s">
        <v>409</v>
      </c>
      <c r="C58" s="13" t="s">
        <v>410</v>
      </c>
      <c r="D58" s="13" t="s">
        <v>401</v>
      </c>
      <c r="E58" s="13" t="s">
        <v>411</v>
      </c>
      <c r="F58" s="13" t="s">
        <v>488</v>
      </c>
      <c r="G58" s="68" t="b">
        <v>0</v>
      </c>
      <c r="H58" s="14">
        <v>46330</v>
      </c>
      <c r="I58" s="13" t="s">
        <v>479</v>
      </c>
      <c r="J58" s="41"/>
      <c r="K58" s="41"/>
      <c r="L58" s="41"/>
      <c r="M58" s="41"/>
    </row>
    <row r="59" spans="1:13" ht="84">
      <c r="A59" s="13" t="s">
        <v>412</v>
      </c>
      <c r="B59" s="13" t="s">
        <v>413</v>
      </c>
      <c r="C59" s="13" t="s">
        <v>414</v>
      </c>
      <c r="D59" s="13" t="s">
        <v>415</v>
      </c>
      <c r="E59" s="13" t="s">
        <v>416</v>
      </c>
      <c r="F59" s="13" t="s">
        <v>488</v>
      </c>
      <c r="G59" s="68" t="b">
        <v>0</v>
      </c>
      <c r="H59" s="14">
        <v>46330</v>
      </c>
      <c r="I59" s="13" t="s">
        <v>479</v>
      </c>
      <c r="J59" s="41"/>
      <c r="K59" s="41"/>
      <c r="L59" s="41"/>
      <c r="M59" s="41"/>
    </row>
    <row r="60" spans="1:13" ht="33.6">
      <c r="A60" s="13" t="s">
        <v>417</v>
      </c>
      <c r="B60" s="13" t="s">
        <v>418</v>
      </c>
      <c r="C60" s="13" t="s">
        <v>419</v>
      </c>
      <c r="D60" s="13" t="s">
        <v>420</v>
      </c>
      <c r="E60" s="13" t="s">
        <v>421</v>
      </c>
      <c r="F60" s="13" t="s">
        <v>488</v>
      </c>
      <c r="G60" s="68" t="b">
        <v>0</v>
      </c>
      <c r="H60" s="14">
        <v>46330</v>
      </c>
      <c r="I60" s="13" t="s">
        <v>479</v>
      </c>
      <c r="J60" s="41"/>
      <c r="K60" s="41"/>
      <c r="L60" s="41"/>
      <c r="M60" s="41"/>
    </row>
    <row r="61" spans="1:13" ht="67.2">
      <c r="A61" s="13" t="s">
        <v>422</v>
      </c>
      <c r="B61" s="13" t="s">
        <v>423</v>
      </c>
      <c r="C61" s="13" t="s">
        <v>424</v>
      </c>
      <c r="D61" s="13" t="s">
        <v>425</v>
      </c>
      <c r="E61" s="13" t="s">
        <v>426</v>
      </c>
      <c r="F61" s="13" t="s">
        <v>427</v>
      </c>
      <c r="G61" s="67" t="s">
        <v>23</v>
      </c>
      <c r="H61" s="14">
        <v>46330</v>
      </c>
      <c r="I61" s="13" t="s">
        <v>479</v>
      </c>
      <c r="J61" s="41"/>
      <c r="K61" s="41"/>
      <c r="L61" s="41"/>
      <c r="M61" s="41"/>
    </row>
    <row r="62" spans="1:13" ht="50.4">
      <c r="A62" s="13" t="s">
        <v>428</v>
      </c>
      <c r="B62" s="13" t="s">
        <v>429</v>
      </c>
      <c r="C62" s="13" t="s">
        <v>430</v>
      </c>
      <c r="D62" s="13" t="s">
        <v>431</v>
      </c>
      <c r="E62" s="13" t="s">
        <v>432</v>
      </c>
      <c r="F62" s="13" t="s">
        <v>433</v>
      </c>
      <c r="G62" s="67" t="s">
        <v>23</v>
      </c>
      <c r="H62" s="14">
        <v>46330</v>
      </c>
      <c r="I62" s="13" t="s">
        <v>479</v>
      </c>
      <c r="J62" s="41"/>
      <c r="K62" s="41"/>
      <c r="L62" s="41"/>
      <c r="M62" s="41"/>
    </row>
    <row r="63" spans="1:13" ht="50.4">
      <c r="A63" s="13" t="s">
        <v>434</v>
      </c>
      <c r="B63" s="13" t="s">
        <v>435</v>
      </c>
      <c r="C63" s="13" t="s">
        <v>436</v>
      </c>
      <c r="D63" s="13" t="s">
        <v>420</v>
      </c>
      <c r="E63" s="13" t="s">
        <v>437</v>
      </c>
      <c r="F63" s="13" t="s">
        <v>433</v>
      </c>
      <c r="G63" s="67" t="s">
        <v>23</v>
      </c>
      <c r="H63" s="14">
        <v>46330</v>
      </c>
      <c r="I63" s="13" t="s">
        <v>479</v>
      </c>
      <c r="J63" s="41"/>
      <c r="K63" s="41"/>
      <c r="L63" s="41"/>
      <c r="M63" s="41"/>
    </row>
    <row r="64" spans="1:13" ht="50.4">
      <c r="A64" s="13" t="s">
        <v>438</v>
      </c>
      <c r="B64" s="13" t="s">
        <v>439</v>
      </c>
      <c r="C64" s="13" t="s">
        <v>440</v>
      </c>
      <c r="D64" s="13" t="s">
        <v>441</v>
      </c>
      <c r="E64" s="13" t="s">
        <v>442</v>
      </c>
      <c r="F64" s="13" t="s">
        <v>443</v>
      </c>
      <c r="G64" s="67" t="s">
        <v>23</v>
      </c>
      <c r="H64" s="14">
        <v>46330</v>
      </c>
      <c r="I64" s="13" t="s">
        <v>479</v>
      </c>
      <c r="J64" s="41"/>
      <c r="K64" s="41"/>
      <c r="L64" s="41"/>
      <c r="M64" s="41"/>
    </row>
    <row r="65" spans="1:13" ht="33.6">
      <c r="A65" s="13" t="s">
        <v>444</v>
      </c>
      <c r="B65" s="13" t="s">
        <v>445</v>
      </c>
      <c r="C65" s="13" t="s">
        <v>446</v>
      </c>
      <c r="D65" s="13" t="s">
        <v>447</v>
      </c>
      <c r="E65" s="13" t="s">
        <v>448</v>
      </c>
      <c r="F65" s="13" t="s">
        <v>449</v>
      </c>
      <c r="G65" s="67" t="s">
        <v>23</v>
      </c>
      <c r="H65" s="14">
        <v>46330</v>
      </c>
      <c r="I65" s="13" t="s">
        <v>479</v>
      </c>
      <c r="J65" s="41"/>
      <c r="K65" s="41"/>
      <c r="L65" s="41"/>
      <c r="M65" s="41"/>
    </row>
    <row r="66" spans="1:13" ht="50.4">
      <c r="A66" s="13" t="s">
        <v>450</v>
      </c>
      <c r="B66" s="13" t="s">
        <v>451</v>
      </c>
      <c r="C66" s="13" t="s">
        <v>452</v>
      </c>
      <c r="D66" s="13" t="s">
        <v>453</v>
      </c>
      <c r="E66" s="13" t="s">
        <v>454</v>
      </c>
      <c r="F66" s="13" t="s">
        <v>455</v>
      </c>
      <c r="G66" s="67" t="s">
        <v>23</v>
      </c>
      <c r="H66" s="14">
        <v>46330</v>
      </c>
      <c r="I66" s="13" t="s">
        <v>479</v>
      </c>
      <c r="J66" s="41"/>
      <c r="K66" s="41"/>
      <c r="L66" s="41"/>
      <c r="M66" s="41"/>
    </row>
    <row r="67" spans="1:13" ht="50.4">
      <c r="A67" s="13" t="s">
        <v>456</v>
      </c>
      <c r="B67" s="13" t="s">
        <v>457</v>
      </c>
      <c r="C67" s="13" t="s">
        <v>458</v>
      </c>
      <c r="D67" s="13" t="s">
        <v>459</v>
      </c>
      <c r="E67" s="13" t="s">
        <v>460</v>
      </c>
      <c r="F67" s="13" t="s">
        <v>461</v>
      </c>
      <c r="G67" s="67" t="s">
        <v>23</v>
      </c>
      <c r="H67" s="14">
        <v>46330</v>
      </c>
      <c r="I67" s="13" t="s">
        <v>479</v>
      </c>
      <c r="J67" s="41"/>
      <c r="K67" s="41"/>
      <c r="L67" s="41"/>
      <c r="M67" s="41"/>
    </row>
    <row r="68" spans="1:13" ht="50.4">
      <c r="A68" s="13" t="s">
        <v>462</v>
      </c>
      <c r="B68" s="13" t="s">
        <v>463</v>
      </c>
      <c r="C68" s="13" t="s">
        <v>464</v>
      </c>
      <c r="D68" s="13" t="s">
        <v>465</v>
      </c>
      <c r="E68" s="13" t="s">
        <v>466</v>
      </c>
      <c r="F68" s="13" t="s">
        <v>461</v>
      </c>
      <c r="G68" s="67" t="s">
        <v>23</v>
      </c>
      <c r="H68" s="14">
        <v>46330</v>
      </c>
      <c r="I68" s="13" t="s">
        <v>479</v>
      </c>
      <c r="J68" s="41"/>
      <c r="K68" s="41"/>
      <c r="L68" s="41"/>
      <c r="M68" s="41"/>
    </row>
    <row r="69" spans="1:13" ht="50.4">
      <c r="A69" s="13" t="s">
        <v>467</v>
      </c>
      <c r="B69" s="13" t="s">
        <v>468</v>
      </c>
      <c r="C69" s="13" t="s">
        <v>469</v>
      </c>
      <c r="D69" s="13" t="s">
        <v>470</v>
      </c>
      <c r="E69" s="13" t="s">
        <v>471</v>
      </c>
      <c r="F69" s="13" t="s">
        <v>472</v>
      </c>
      <c r="G69" s="67" t="s">
        <v>23</v>
      </c>
      <c r="H69" s="14">
        <v>46330</v>
      </c>
      <c r="I69" s="13" t="s">
        <v>479</v>
      </c>
      <c r="J69" s="41"/>
      <c r="K69" s="41"/>
      <c r="L69" s="41"/>
      <c r="M69" s="41"/>
    </row>
  </sheetData>
  <mergeCells count="16">
    <mergeCell ref="A29:M29"/>
    <mergeCell ref="G7:I7"/>
    <mergeCell ref="J7:L7"/>
    <mergeCell ref="M7:M9"/>
    <mergeCell ref="G8:I8"/>
    <mergeCell ref="J8:L8"/>
    <mergeCell ref="A10:M10"/>
    <mergeCell ref="B1:F1"/>
    <mergeCell ref="B2:F2"/>
    <mergeCell ref="A7:A9"/>
    <mergeCell ref="B7:B9"/>
    <mergeCell ref="C7:C9"/>
    <mergeCell ref="D7:D9"/>
    <mergeCell ref="E7:E9"/>
    <mergeCell ref="F7:F9"/>
    <mergeCell ref="A6:F6"/>
  </mergeCells>
  <dataValidations count="1">
    <dataValidation type="list" operator="equal" allowBlank="1" showErrorMessage="1" promptTitle="dfdf" sqref="J11:J28" xr:uid="{F72D0C98-5025-47D2-A826-B70CF127165E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Trường hợp kiểm thử</vt:lpstr>
      <vt:lpstr>AuditLog</vt:lpstr>
      <vt:lpstr>Inbound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Ti Huynh</dc:creator>
  <cp:lastModifiedBy>Ngoc Ti Huynh</cp:lastModifiedBy>
  <dcterms:created xsi:type="dcterms:W3CDTF">2026-05-05T01:00:42Z</dcterms:created>
  <dcterms:modified xsi:type="dcterms:W3CDTF">2026-05-07T11:53:24Z</dcterms:modified>
</cp:coreProperties>
</file>